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DEEP\Downloads\"/>
    </mc:Choice>
  </mc:AlternateContent>
  <xr:revisionPtr revIDLastSave="0" documentId="13_ncr:1_{B9CD3878-73D8-4734-9F17-AABEF68D10F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H4" i="3"/>
  <c r="I4" i="3"/>
  <c r="J4" i="3"/>
  <c r="K4" i="3"/>
  <c r="B4" i="3"/>
  <c r="C3" i="1"/>
  <c r="C4" i="1" s="1"/>
  <c r="C17" i="1" s="1"/>
  <c r="D3" i="1"/>
  <c r="D4" i="1" s="1"/>
  <c r="D17" i="1" s="1"/>
  <c r="E3" i="1"/>
  <c r="F3" i="1"/>
  <c r="G3" i="1"/>
  <c r="H3" i="1"/>
  <c r="I3" i="1"/>
  <c r="J3" i="1"/>
  <c r="K3" i="1"/>
  <c r="B3" i="1"/>
  <c r="J11" i="1"/>
  <c r="B6" i="6"/>
  <c r="C15" i="2"/>
  <c r="C18" i="2" s="1"/>
  <c r="D15" i="2"/>
  <c r="D18" i="2" s="1"/>
  <c r="E15" i="2"/>
  <c r="F15" i="2"/>
  <c r="G15" i="2"/>
  <c r="H15" i="2"/>
  <c r="I15" i="2"/>
  <c r="J15" i="2"/>
  <c r="K15" i="2"/>
  <c r="C16" i="2"/>
  <c r="C19" i="2" s="1"/>
  <c r="D16" i="2"/>
  <c r="D19" i="2" s="1"/>
  <c r="E16" i="2"/>
  <c r="E19" i="2" s="1"/>
  <c r="F16" i="2"/>
  <c r="F19" i="2" s="1"/>
  <c r="G16" i="2"/>
  <c r="G19" i="2" s="1"/>
  <c r="H16" i="2"/>
  <c r="I16" i="2"/>
  <c r="J16" i="2"/>
  <c r="J19" i="2" s="1"/>
  <c r="K16" i="2"/>
  <c r="B15" i="2"/>
  <c r="C2" i="2"/>
  <c r="D2" i="2"/>
  <c r="E2" i="2"/>
  <c r="E3" i="2"/>
  <c r="F2" i="2"/>
  <c r="G2" i="2"/>
  <c r="H2" i="2"/>
  <c r="I2" i="2"/>
  <c r="I3" i="2"/>
  <c r="J2" i="2"/>
  <c r="J3" i="2"/>
  <c r="K2" i="2"/>
  <c r="C3" i="2"/>
  <c r="D3" i="2"/>
  <c r="F3" i="2"/>
  <c r="G3" i="2"/>
  <c r="H3" i="2"/>
  <c r="K3" i="2"/>
  <c r="K21" i="2" s="1"/>
  <c r="C4" i="2"/>
  <c r="D4" i="2"/>
  <c r="E4" i="2"/>
  <c r="F4" i="2"/>
  <c r="G4" i="2"/>
  <c r="H4" i="2"/>
  <c r="I4" i="2"/>
  <c r="J4" i="2"/>
  <c r="K4" i="2"/>
  <c r="C5" i="2"/>
  <c r="D5" i="2"/>
  <c r="E5" i="2"/>
  <c r="F5" i="2"/>
  <c r="F14" i="2" s="1"/>
  <c r="G5" i="2"/>
  <c r="H5" i="2"/>
  <c r="I5" i="2"/>
  <c r="J5" i="2"/>
  <c r="K5" i="2"/>
  <c r="C6" i="2"/>
  <c r="D6" i="2"/>
  <c r="E6" i="2"/>
  <c r="F6" i="2"/>
  <c r="G6" i="2"/>
  <c r="H6" i="2"/>
  <c r="I6" i="2"/>
  <c r="J6" i="2"/>
  <c r="K6" i="2"/>
  <c r="C8" i="2"/>
  <c r="D8" i="2"/>
  <c r="E8" i="2"/>
  <c r="F8" i="2"/>
  <c r="G8" i="2"/>
  <c r="H8" i="2"/>
  <c r="I8" i="2"/>
  <c r="J8" i="2"/>
  <c r="K8" i="2"/>
  <c r="C9" i="2"/>
  <c r="D9" i="2"/>
  <c r="E9" i="2"/>
  <c r="F9" i="2"/>
  <c r="G9" i="2"/>
  <c r="H9" i="2"/>
  <c r="I9" i="2"/>
  <c r="J9" i="2"/>
  <c r="K9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H14" i="2" s="1"/>
  <c r="I11" i="2"/>
  <c r="J11" i="2"/>
  <c r="K11" i="2"/>
  <c r="C12" i="2"/>
  <c r="D12" i="2"/>
  <c r="E12" i="2"/>
  <c r="F12" i="2"/>
  <c r="G12" i="2"/>
  <c r="H12" i="2"/>
  <c r="I12" i="2"/>
  <c r="J12" i="2"/>
  <c r="K12" i="2"/>
  <c r="B12" i="2"/>
  <c r="B3" i="2"/>
  <c r="B2" i="2"/>
  <c r="C2" i="4"/>
  <c r="D2" i="4"/>
  <c r="E2" i="4"/>
  <c r="F2" i="4"/>
  <c r="G2" i="4"/>
  <c r="H2" i="4"/>
  <c r="I2" i="4"/>
  <c r="J2" i="4"/>
  <c r="K2" i="4"/>
  <c r="C3" i="4"/>
  <c r="D3" i="4"/>
  <c r="E3" i="4"/>
  <c r="F3" i="4"/>
  <c r="G3" i="4"/>
  <c r="H3" i="4"/>
  <c r="I3" i="4"/>
  <c r="J3" i="4"/>
  <c r="K3" i="4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2" i="3"/>
  <c r="D2" i="3"/>
  <c r="D12" i="3" s="1"/>
  <c r="E2" i="3"/>
  <c r="E12" i="3" s="1"/>
  <c r="F2" i="3"/>
  <c r="G2" i="3"/>
  <c r="G12" i="3" s="1"/>
  <c r="H2" i="3"/>
  <c r="I2" i="3"/>
  <c r="I12" i="3" s="1"/>
  <c r="J2" i="3"/>
  <c r="J12" i="3" s="1"/>
  <c r="K2" i="3"/>
  <c r="K12" i="3" s="1"/>
  <c r="C3" i="3"/>
  <c r="D3" i="3"/>
  <c r="E3" i="3"/>
  <c r="F3" i="3"/>
  <c r="G3" i="3"/>
  <c r="H3" i="3"/>
  <c r="I3" i="3"/>
  <c r="J3" i="3"/>
  <c r="K3" i="3"/>
  <c r="C5" i="3"/>
  <c r="D5" i="3"/>
  <c r="E5" i="3"/>
  <c r="F5" i="3"/>
  <c r="G5" i="3"/>
  <c r="H5" i="3"/>
  <c r="I5" i="3"/>
  <c r="J5" i="3"/>
  <c r="K5" i="3"/>
  <c r="C6" i="3"/>
  <c r="D6" i="3"/>
  <c r="E6" i="3"/>
  <c r="F6" i="3"/>
  <c r="G6" i="3"/>
  <c r="H6" i="3"/>
  <c r="I6" i="3"/>
  <c r="J6" i="3"/>
  <c r="K6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B3" i="3"/>
  <c r="C16" i="1"/>
  <c r="D16" i="1"/>
  <c r="E16" i="1"/>
  <c r="F16" i="1"/>
  <c r="G16" i="1"/>
  <c r="H16" i="1"/>
  <c r="I16" i="1"/>
  <c r="J16" i="1"/>
  <c r="K16" i="1"/>
  <c r="B16" i="1"/>
  <c r="C2" i="1"/>
  <c r="D2" i="1"/>
  <c r="E2" i="1"/>
  <c r="F2" i="1"/>
  <c r="G2" i="1"/>
  <c r="H2" i="1"/>
  <c r="I2" i="1"/>
  <c r="I4" i="1" s="1"/>
  <c r="I17" i="1" s="1"/>
  <c r="J2" i="1"/>
  <c r="J18" i="2" s="1"/>
  <c r="K2" i="1"/>
  <c r="K18" i="2" s="1"/>
  <c r="C5" i="1"/>
  <c r="D5" i="1"/>
  <c r="E5" i="1"/>
  <c r="F5" i="1"/>
  <c r="G5" i="1"/>
  <c r="H5" i="1"/>
  <c r="I5" i="1"/>
  <c r="J5" i="1"/>
  <c r="K5" i="1"/>
  <c r="C6" i="1"/>
  <c r="D6" i="1"/>
  <c r="E6" i="1"/>
  <c r="F6" i="1"/>
  <c r="G6" i="1"/>
  <c r="H6" i="1"/>
  <c r="I6" i="1"/>
  <c r="J6" i="1"/>
  <c r="K6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C11" i="1" s="1"/>
  <c r="D10" i="1"/>
  <c r="E10" i="1"/>
  <c r="F10" i="1"/>
  <c r="F11" i="1" s="1"/>
  <c r="F12" i="1" s="1"/>
  <c r="G10" i="1"/>
  <c r="G21" i="2" s="1"/>
  <c r="H10" i="1"/>
  <c r="H11" i="1" s="1"/>
  <c r="I10" i="1"/>
  <c r="J10" i="1"/>
  <c r="K10" i="1"/>
  <c r="K11" i="1" s="1"/>
  <c r="C13" i="1"/>
  <c r="D13" i="1"/>
  <c r="E13" i="1"/>
  <c r="F13" i="1"/>
  <c r="G13" i="1"/>
  <c r="H13" i="1"/>
  <c r="I13" i="1"/>
  <c r="J13" i="1"/>
  <c r="J12" i="1" s="1"/>
  <c r="K13" i="1"/>
  <c r="B13" i="1"/>
  <c r="I11" i="1"/>
  <c r="B5" i="1"/>
  <c r="B2" i="1"/>
  <c r="B18" i="2" s="1"/>
  <c r="E1" i="6"/>
  <c r="C21" i="2"/>
  <c r="K14" i="2"/>
  <c r="C14" i="2"/>
  <c r="G4" i="1"/>
  <c r="G17" i="1" s="1"/>
  <c r="C1" i="4"/>
  <c r="D1" i="4"/>
  <c r="E1" i="4"/>
  <c r="F1" i="4"/>
  <c r="G1" i="4"/>
  <c r="H1" i="4"/>
  <c r="I1" i="4"/>
  <c r="J1" i="4"/>
  <c r="K1" i="4"/>
  <c r="C1" i="2"/>
  <c r="D1" i="2"/>
  <c r="E1" i="2"/>
  <c r="F1" i="2"/>
  <c r="G1" i="2"/>
  <c r="H1" i="2"/>
  <c r="I1" i="2"/>
  <c r="J1" i="2"/>
  <c r="K1" i="2"/>
  <c r="C1" i="3"/>
  <c r="D1" i="3"/>
  <c r="E1" i="3"/>
  <c r="F1" i="3"/>
  <c r="G1" i="3"/>
  <c r="H1" i="3"/>
  <c r="I1" i="3"/>
  <c r="J1" i="3"/>
  <c r="K1" i="3"/>
  <c r="C1" i="1"/>
  <c r="D1" i="1"/>
  <c r="E1" i="1"/>
  <c r="F1" i="1"/>
  <c r="G1" i="1"/>
  <c r="H1" i="1"/>
  <c r="I1" i="1"/>
  <c r="J1" i="1"/>
  <c r="K1" i="1"/>
  <c r="B5" i="4"/>
  <c r="B4" i="4"/>
  <c r="B3" i="4"/>
  <c r="B2" i="4"/>
  <c r="B1" i="4"/>
  <c r="K19" i="2"/>
  <c r="I19" i="2"/>
  <c r="H19" i="2"/>
  <c r="B16" i="2"/>
  <c r="B19" i="2"/>
  <c r="B11" i="2"/>
  <c r="B14" i="2" s="1"/>
  <c r="B10" i="2"/>
  <c r="B9" i="2"/>
  <c r="B8" i="2"/>
  <c r="B6" i="2"/>
  <c r="B5" i="2"/>
  <c r="B4" i="2"/>
  <c r="B1" i="2"/>
  <c r="H12" i="3"/>
  <c r="F12" i="3"/>
  <c r="B10" i="3"/>
  <c r="B9" i="3"/>
  <c r="B8" i="3"/>
  <c r="B7" i="3"/>
  <c r="B6" i="3"/>
  <c r="B5" i="3"/>
  <c r="B2" i="3"/>
  <c r="B1" i="3"/>
  <c r="L13" i="1"/>
  <c r="B10" i="1"/>
  <c r="B11" i="1" s="1"/>
  <c r="B9" i="1"/>
  <c r="B8" i="1"/>
  <c r="B7" i="1"/>
  <c r="B6" i="1"/>
  <c r="B1" i="1"/>
  <c r="E18" i="2"/>
  <c r="J14" i="2" l="1"/>
  <c r="D14" i="2"/>
  <c r="G14" i="2"/>
  <c r="L4" i="1"/>
  <c r="L10" i="1"/>
  <c r="L11" i="1" s="1"/>
  <c r="B12" i="3"/>
  <c r="L5" i="1"/>
  <c r="C12" i="3"/>
  <c r="L8" i="1"/>
  <c r="L3" i="1"/>
  <c r="L9" i="1"/>
  <c r="J21" i="1"/>
  <c r="E4" i="1"/>
  <c r="E17" i="1" s="1"/>
  <c r="I21" i="1"/>
  <c r="G18" i="2"/>
  <c r="H21" i="2"/>
  <c r="H21" i="1"/>
  <c r="E21" i="2"/>
  <c r="D11" i="1"/>
  <c r="E11" i="1" s="1"/>
  <c r="E12" i="1" s="1"/>
  <c r="I23" i="1" s="1"/>
  <c r="D21" i="2"/>
  <c r="K4" i="1"/>
  <c r="K17" i="1" s="1"/>
  <c r="J4" i="1"/>
  <c r="J17" i="1" s="1"/>
  <c r="K22" i="1" s="1"/>
  <c r="F21" i="2"/>
  <c r="J21" i="2"/>
  <c r="L12" i="1"/>
  <c r="L23" i="1" s="1"/>
  <c r="B21" i="2"/>
  <c r="I21" i="2"/>
  <c r="C12" i="1"/>
  <c r="K12" i="1"/>
  <c r="L6" i="1"/>
  <c r="N6" i="1" s="1"/>
  <c r="F18" i="2"/>
  <c r="E22" i="2"/>
  <c r="G11" i="1"/>
  <c r="G12" i="1" s="1"/>
  <c r="B12" i="1"/>
  <c r="B4" i="1"/>
  <c r="B17" i="1" s="1"/>
  <c r="D22" i="2"/>
  <c r="I14" i="2"/>
  <c r="K22" i="2"/>
  <c r="I12" i="1"/>
  <c r="C22" i="2"/>
  <c r="H22" i="2"/>
  <c r="I22" i="2"/>
  <c r="G22" i="2"/>
  <c r="J22" i="2"/>
  <c r="L7" i="1"/>
  <c r="N7" i="1" s="1"/>
  <c r="E14" i="2"/>
  <c r="H12" i="1"/>
  <c r="L2" i="1"/>
  <c r="L21" i="1" s="1"/>
  <c r="F22" i="2"/>
  <c r="I18" i="2"/>
  <c r="H18" i="2"/>
  <c r="K21" i="1"/>
  <c r="H4" i="1"/>
  <c r="H17" i="1" s="1"/>
  <c r="J22" i="1" s="1"/>
  <c r="F4" i="1"/>
  <c r="F17" i="1" s="1"/>
  <c r="M9" i="1" l="1"/>
  <c r="N9" i="1"/>
  <c r="M21" i="1"/>
  <c r="M2" i="1" s="1"/>
  <c r="J23" i="1"/>
  <c r="D12" i="1"/>
  <c r="H23" i="1" s="1"/>
  <c r="N23" i="1" s="1"/>
  <c r="N12" i="1" s="1"/>
  <c r="M7" i="1"/>
  <c r="K23" i="1"/>
  <c r="M23" i="1" s="1"/>
  <c r="M12" i="1" s="1"/>
  <c r="H22" i="1"/>
  <c r="L17" i="1"/>
  <c r="L22" i="1" s="1"/>
  <c r="M22" i="1" s="1"/>
  <c r="I22" i="1"/>
  <c r="N21" i="1"/>
  <c r="N2" i="1" s="1"/>
  <c r="M6" i="1"/>
  <c r="M4" i="1"/>
  <c r="M8" i="1" s="1"/>
  <c r="M10" i="1" s="1"/>
  <c r="M11" i="1" s="1"/>
  <c r="M13" i="1" s="1"/>
  <c r="N22" i="1" l="1"/>
  <c r="N4" i="1" s="1"/>
  <c r="N3" i="1" s="1"/>
  <c r="M3" i="1"/>
  <c r="N8" i="1" l="1"/>
  <c r="N10" i="1" s="1"/>
  <c r="N11" i="1" s="1"/>
  <c r="N13" i="1" s="1"/>
</calcChain>
</file>

<file path=xl/sharedStrings.xml><?xml version="1.0" encoding="utf-8"?>
<sst xmlns="http://schemas.openxmlformats.org/spreadsheetml/2006/main" count="141" uniqueCount="92">
  <si>
    <t>COMPANY NAME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</si>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</sst>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6">
    <xf numFmtId="0" fontId="0" fillId="0" borderId="0" xfId="0"/>
    <xf numFmtId="164" fontId="1" fillId="0" borderId="0" xfId="1" applyFont="1" applyBorder="1"/>
    <xf numFmtId="0" fontId="1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8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8" fillId="0" borderId="0" xfId="0" applyFont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1:N17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1:K12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3"/>
  <sheetViews>
    <sheetView zoomScale="120" zoomScaleNormal="120" zoomScaleSheetLayoutView="100" zoomScalePageLayoutView="120" workbookViewId="0">
      <pane xSplit="1" ySplit="2" topLeftCell="C3" activePane="bottomRight" state="frozen"/>
      <selection activeCell="I2" sqref="I2"/>
      <selection pane="topRight" activeCell="I2" sqref="I2"/>
      <selection pane="bottomLeft" activeCell="I2" sqref="I2"/>
      <selection pane="bottomRight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10" t="s">
        <v>1</v>
      </c>
      <c r="B1" s="11">
        <f>'Data Sheet'!B16</f>
        <v>42825</v>
      </c>
      <c r="C1" s="11">
        <f>'Data Sheet'!C16</f>
        <v>43190</v>
      </c>
      <c r="D1" s="11">
        <f>'Data Sheet'!D16</f>
        <v>43555</v>
      </c>
      <c r="E1" s="11">
        <f>'Data Sheet'!E16</f>
        <v>43921</v>
      </c>
      <c r="F1" s="11">
        <f>'Data Sheet'!F16</f>
        <v>44286</v>
      </c>
      <c r="G1" s="11">
        <f>'Data Sheet'!G16</f>
        <v>44651</v>
      </c>
      <c r="H1" s="11">
        <f>'Data Sheet'!H16</f>
        <v>45016</v>
      </c>
      <c r="I1" s="11">
        <f>'Data Sheet'!I16</f>
        <v>45382</v>
      </c>
      <c r="J1" s="11">
        <f>'Data Sheet'!J16</f>
        <v>45747</v>
      </c>
      <c r="K1" s="11">
        <f>'Data Sheet'!K16</f>
        <v>46112</v>
      </c>
      <c r="L1" s="12" t="s">
        <v>2</v>
      </c>
      <c r="M1" s="12" t="s">
        <v>3</v>
      </c>
      <c r="N1" s="12" t="s">
        <v>4</v>
      </c>
    </row>
    <row r="2" spans="1:14" s="2" customFormat="1" x14ac:dyDescent="0.35">
      <c r="A2" s="2" t="s">
        <v>5</v>
      </c>
      <c r="B2" s="1">
        <f>'Data Sheet'!B17</f>
        <v>73271.350000000006</v>
      </c>
      <c r="C2" s="1">
        <f>'Data Sheet'!C17</f>
        <v>85287.84</v>
      </c>
      <c r="D2" s="1">
        <f>'Data Sheet'!D17</f>
        <v>105160.74</v>
      </c>
      <c r="E2" s="1">
        <f>'Data Sheet'!E17</f>
        <v>122189.29</v>
      </c>
      <c r="F2" s="1">
        <f>'Data Sheet'!F17</f>
        <v>128552.4</v>
      </c>
      <c r="G2" s="1">
        <f>'Data Sheet'!G17</f>
        <v>135936.41</v>
      </c>
      <c r="H2" s="1">
        <f>'Data Sheet'!H17</f>
        <v>170754.05</v>
      </c>
      <c r="I2" s="1">
        <f>'Data Sheet'!I17</f>
        <v>283649.02</v>
      </c>
      <c r="J2" s="1">
        <f>'Data Sheet'!J17</f>
        <v>336367.43</v>
      </c>
      <c r="K2" s="1">
        <f>'Data Sheet'!K17</f>
        <v>348615.15</v>
      </c>
      <c r="L2" s="1">
        <f>SUM(Quarters!H2:K2)</f>
        <v>351818.61</v>
      </c>
      <c r="M2" s="1">
        <f>$K2+M21*K2</f>
        <v>442253.56021524366</v>
      </c>
      <c r="N2" s="1">
        <f>$K2+N21*L2</f>
        <v>361425.47419241426</v>
      </c>
    </row>
    <row r="3" spans="1:14" x14ac:dyDescent="0.35">
      <c r="A3" t="s">
        <v>6</v>
      </c>
      <c r="B3" s="5">
        <f>SUM('Data Sheet'!B18,'Data Sheet'!B20:B24, -1*'Data Sheet'!B19)</f>
        <v>23855.69</v>
      </c>
      <c r="C3" s="5">
        <f>SUM('Data Sheet'!C18,'Data Sheet'!C20:C24, -1*'Data Sheet'!C19)</f>
        <v>29532.26</v>
      </c>
      <c r="D3" s="5">
        <f>SUM('Data Sheet'!D18,'Data Sheet'!D20:D24, -1*'Data Sheet'!D19)</f>
        <v>34856.270000000004</v>
      </c>
      <c r="E3" s="5">
        <f>SUM('Data Sheet'!E18,'Data Sheet'!E20:E24, -1*'Data Sheet'!E19)</f>
        <v>45459.210000000006</v>
      </c>
      <c r="F3" s="5">
        <f>SUM('Data Sheet'!F18,'Data Sheet'!F20:F24, -1*'Data Sheet'!F19)</f>
        <v>52456.53</v>
      </c>
      <c r="G3" s="5">
        <f>SUM('Data Sheet'!G18,'Data Sheet'!G20:G24, -1*'Data Sheet'!G19)</f>
        <v>56556.959999999992</v>
      </c>
      <c r="H3" s="5">
        <f>SUM('Data Sheet'!H18,'Data Sheet'!H20:H24, -1*'Data Sheet'!H19)</f>
        <v>63042.3</v>
      </c>
      <c r="I3" s="5">
        <f>SUM('Data Sheet'!I18,'Data Sheet'!I20:I24, -1*'Data Sheet'!I19)</f>
        <v>174195.53999999998</v>
      </c>
      <c r="J3" s="5">
        <f>SUM('Data Sheet'!J18,'Data Sheet'!J20:J24, -1*'Data Sheet'!J19)</f>
        <v>186974.45</v>
      </c>
      <c r="K3" s="5">
        <f>SUM('Data Sheet'!K18,'Data Sheet'!K20:K24, -1*'Data Sheet'!K19)</f>
        <v>203635.23</v>
      </c>
      <c r="L3" s="5">
        <f>SUM(Quarters!H3:K3)</f>
        <v>201625.07</v>
      </c>
      <c r="M3" s="5">
        <f t="shared" ref="M3:N3" si="0">M2-M4</f>
        <v>253452.78078424479</v>
      </c>
      <c r="N3" s="5">
        <f t="shared" si="0"/>
        <v>210745.75149608051</v>
      </c>
    </row>
    <row r="4" spans="1:14" s="2" customFormat="1" x14ac:dyDescent="0.35">
      <c r="A4" s="2" t="s">
        <v>7</v>
      </c>
      <c r="B4" s="1">
        <f>B2-B3</f>
        <v>49415.66</v>
      </c>
      <c r="C4" s="1">
        <f t="shared" ref="C4:K4" si="1">C2-C3</f>
        <v>55755.58</v>
      </c>
      <c r="D4" s="1">
        <f t="shared" si="1"/>
        <v>70304.47</v>
      </c>
      <c r="E4" s="1">
        <f t="shared" si="1"/>
        <v>76730.079999999987</v>
      </c>
      <c r="F4" s="1">
        <f t="shared" si="1"/>
        <v>76095.87</v>
      </c>
      <c r="G4" s="1">
        <f t="shared" si="1"/>
        <v>79379.450000000012</v>
      </c>
      <c r="H4" s="1">
        <f t="shared" si="1"/>
        <v>107711.74999999999</v>
      </c>
      <c r="I4" s="1">
        <f t="shared" si="1"/>
        <v>109453.48000000004</v>
      </c>
      <c r="J4" s="1">
        <f t="shared" si="1"/>
        <v>149392.97999999998</v>
      </c>
      <c r="K4" s="1">
        <f t="shared" si="1"/>
        <v>144979.92000000001</v>
      </c>
      <c r="L4" s="1">
        <f>SUM(Quarters!H4:K4)</f>
        <v>150193.54</v>
      </c>
      <c r="M4" s="1">
        <f>M2*M22</f>
        <v>188800.77943099887</v>
      </c>
      <c r="N4" s="1">
        <f>N2*N22</f>
        <v>150679.72269633375</v>
      </c>
    </row>
    <row r="5" spans="1:14" x14ac:dyDescent="0.35">
      <c r="A5" t="s">
        <v>8</v>
      </c>
      <c r="B5" s="5">
        <f>'Data Sheet'!B25</f>
        <v>12905.08</v>
      </c>
      <c r="C5" s="5">
        <f>'Data Sheet'!C25</f>
        <v>16056.6</v>
      </c>
      <c r="D5" s="5">
        <f>'Data Sheet'!D25</f>
        <v>18947.05</v>
      </c>
      <c r="E5" s="5">
        <f>'Data Sheet'!E25</f>
        <v>24878.97</v>
      </c>
      <c r="F5" s="5">
        <f>'Data Sheet'!F25</f>
        <v>27332.880000000001</v>
      </c>
      <c r="G5" s="5">
        <f>'Data Sheet'!G25</f>
        <v>31758.99</v>
      </c>
      <c r="H5" s="5">
        <f>'Data Sheet'!H25</f>
        <v>33912.050000000003</v>
      </c>
      <c r="I5" s="5">
        <f>'Data Sheet'!I25</f>
        <v>124345.75</v>
      </c>
      <c r="J5" s="5">
        <f>'Data Sheet'!J25</f>
        <v>134548.5</v>
      </c>
      <c r="K5" s="5">
        <f>'Data Sheet'!K25</f>
        <v>146847.66</v>
      </c>
      <c r="L5" s="5">
        <f>SUM(Quarters!H5:K5)</f>
        <v>143699.59</v>
      </c>
      <c r="M5" s="5">
        <v>0</v>
      </c>
      <c r="N5" s="5">
        <v>0</v>
      </c>
    </row>
    <row r="6" spans="1:14" x14ac:dyDescent="0.35">
      <c r="A6" t="s">
        <v>9</v>
      </c>
      <c r="B6" s="5">
        <f>'Data Sheet'!B26</f>
        <v>886.19</v>
      </c>
      <c r="C6" s="5">
        <f>'Data Sheet'!C26</f>
        <v>966.78</v>
      </c>
      <c r="D6" s="5">
        <f>'Data Sheet'!D26</f>
        <v>1220.67</v>
      </c>
      <c r="E6" s="5">
        <f>'Data Sheet'!E26</f>
        <v>1276.77</v>
      </c>
      <c r="F6" s="5">
        <f>'Data Sheet'!F26</f>
        <v>1385.01</v>
      </c>
      <c r="G6" s="5">
        <f>'Data Sheet'!G26</f>
        <v>1680.73</v>
      </c>
      <c r="H6" s="5">
        <f>'Data Sheet'!H26</f>
        <v>2345.4699999999998</v>
      </c>
      <c r="I6" s="5">
        <f>'Data Sheet'!I26</f>
        <v>3092.08</v>
      </c>
      <c r="J6" s="5">
        <f>'Data Sheet'!J26</f>
        <v>3805.23</v>
      </c>
      <c r="K6" s="5">
        <f>'Data Sheet'!K26</f>
        <v>4194.8999999999996</v>
      </c>
      <c r="L6" s="5">
        <f>SUM(Quarters!H6:K6)</f>
        <v>0</v>
      </c>
      <c r="M6" s="5">
        <f>+$L6</f>
        <v>0</v>
      </c>
      <c r="N6" s="5">
        <f>+$L6</f>
        <v>0</v>
      </c>
    </row>
    <row r="7" spans="1:14" x14ac:dyDescent="0.35">
      <c r="A7" t="s">
        <v>10</v>
      </c>
      <c r="B7" s="5">
        <f>'Data Sheet'!B27</f>
        <v>38041.58</v>
      </c>
      <c r="C7" s="5">
        <f>'Data Sheet'!C27</f>
        <v>42381.48</v>
      </c>
      <c r="D7" s="5">
        <f>'Data Sheet'!D27</f>
        <v>53712.69</v>
      </c>
      <c r="E7" s="5">
        <f>'Data Sheet'!E27</f>
        <v>62137.42</v>
      </c>
      <c r="F7" s="5">
        <f>'Data Sheet'!F27</f>
        <v>59247.59</v>
      </c>
      <c r="G7" s="5">
        <f>'Data Sheet'!G27</f>
        <v>58584.33</v>
      </c>
      <c r="H7" s="5">
        <f>'Data Sheet'!H27</f>
        <v>77779.94</v>
      </c>
      <c r="I7" s="5">
        <f>'Data Sheet'!I27</f>
        <v>154138.54999999999</v>
      </c>
      <c r="J7" s="5">
        <f>'Data Sheet'!J27</f>
        <v>183894.2</v>
      </c>
      <c r="K7" s="5">
        <f>'Data Sheet'!K27</f>
        <v>185491.23</v>
      </c>
      <c r="L7" s="5">
        <f>SUM(Quarters!H7:K7)</f>
        <v>185408.35</v>
      </c>
      <c r="M7" s="5">
        <f>+$L7</f>
        <v>185408.35</v>
      </c>
      <c r="N7" s="5">
        <f>+$L7</f>
        <v>185408.35</v>
      </c>
    </row>
    <row r="8" spans="1:14" x14ac:dyDescent="0.35">
      <c r="A8" t="s">
        <v>11</v>
      </c>
      <c r="B8" s="5">
        <f>'Data Sheet'!B28</f>
        <v>23392.97</v>
      </c>
      <c r="C8" s="5">
        <f>'Data Sheet'!C28</f>
        <v>28463.919999999998</v>
      </c>
      <c r="D8" s="5">
        <f>'Data Sheet'!D28</f>
        <v>34318.160000000003</v>
      </c>
      <c r="E8" s="5">
        <f>'Data Sheet'!E28</f>
        <v>38194.86</v>
      </c>
      <c r="F8" s="5">
        <f>'Data Sheet'!F28</f>
        <v>42796.15</v>
      </c>
      <c r="G8" s="5">
        <f>'Data Sheet'!G28</f>
        <v>50873.38</v>
      </c>
      <c r="H8" s="5">
        <f>'Data Sheet'!H28</f>
        <v>61498.39</v>
      </c>
      <c r="I8" s="5">
        <f>'Data Sheet'!I28</f>
        <v>76568.600000000006</v>
      </c>
      <c r="J8" s="5">
        <f>'Data Sheet'!J28</f>
        <v>96242.05</v>
      </c>
      <c r="K8" s="5">
        <f>'Data Sheet'!K28</f>
        <v>102141.45</v>
      </c>
      <c r="L8" s="5">
        <f>SUM(Quarters!H8:K8)</f>
        <v>108484.78</v>
      </c>
      <c r="M8" s="5">
        <f>M4+M5-SUM(M6:M7)</f>
        <v>3392.4294309988618</v>
      </c>
      <c r="N8" s="5">
        <f>N4+N5-SUM(N6:N7)</f>
        <v>-34728.627303666261</v>
      </c>
    </row>
    <row r="9" spans="1:14" x14ac:dyDescent="0.35">
      <c r="A9" t="s">
        <v>12</v>
      </c>
      <c r="B9" s="5">
        <f>'Data Sheet'!B29</f>
        <v>8078.12</v>
      </c>
      <c r="C9" s="5">
        <f>'Data Sheet'!C29</f>
        <v>9903.08</v>
      </c>
      <c r="D9" s="5">
        <f>'Data Sheet'!D29</f>
        <v>11872.55</v>
      </c>
      <c r="E9" s="5">
        <f>'Data Sheet'!E29</f>
        <v>10898.59</v>
      </c>
      <c r="F9" s="5">
        <f>'Data Sheet'!F29</f>
        <v>10939.38</v>
      </c>
      <c r="G9" s="5">
        <f>'Data Sheet'!G29</f>
        <v>12722.48</v>
      </c>
      <c r="H9" s="5">
        <f>'Data Sheet'!H29</f>
        <v>15349.69</v>
      </c>
      <c r="I9" s="5">
        <f>'Data Sheet'!I29</f>
        <v>11122.1</v>
      </c>
      <c r="J9" s="5">
        <f>'Data Sheet'!J29</f>
        <v>22801.88</v>
      </c>
      <c r="K9" s="5">
        <f>'Data Sheet'!K29</f>
        <v>22921.99</v>
      </c>
      <c r="L9" s="5">
        <f>SUM(Quarters!H9:K9)</f>
        <v>25973.06</v>
      </c>
      <c r="M9" s="6">
        <f>IF($L8&gt;0,$L9/$L8,0)</f>
        <v>0.23941662600043989</v>
      </c>
      <c r="N9" s="6">
        <f>IF($L8&gt;0,$L9/$L8,0)</f>
        <v>0.23941662600043989</v>
      </c>
    </row>
    <row r="10" spans="1:14" s="2" customFormat="1" x14ac:dyDescent="0.35">
      <c r="A10" s="2" t="s">
        <v>13</v>
      </c>
      <c r="B10" s="1">
        <f>'Data Sheet'!B30</f>
        <v>15280.48</v>
      </c>
      <c r="C10" s="1">
        <f>'Data Sheet'!C30</f>
        <v>18510.02</v>
      </c>
      <c r="D10" s="1">
        <f>'Data Sheet'!D30</f>
        <v>22332.43</v>
      </c>
      <c r="E10" s="1">
        <f>'Data Sheet'!E30</f>
        <v>27253.95</v>
      </c>
      <c r="F10" s="1">
        <f>'Data Sheet'!F30</f>
        <v>31833.21</v>
      </c>
      <c r="G10" s="1">
        <f>'Data Sheet'!G30</f>
        <v>38052.75</v>
      </c>
      <c r="H10" s="1">
        <f>'Data Sheet'!H30</f>
        <v>45997.11</v>
      </c>
      <c r="I10" s="1">
        <f>'Data Sheet'!I30</f>
        <v>64062.04</v>
      </c>
      <c r="J10" s="1">
        <f>'Data Sheet'!J30</f>
        <v>70792.25</v>
      </c>
      <c r="K10" s="1">
        <f>'Data Sheet'!K30</f>
        <v>76025.97</v>
      </c>
      <c r="L10" s="1">
        <f>SUM(Quarters!H10:K10)</f>
        <v>79012.76999999999</v>
      </c>
      <c r="M10" s="1">
        <f>M8-M9*M8</f>
        <v>2580.2254226845221</v>
      </c>
      <c r="N10" s="1">
        <f>N8-N9*N8</f>
        <v>-26414.016528995729</v>
      </c>
    </row>
    <row r="11" spans="1:14" x14ac:dyDescent="0.35">
      <c r="A11" t="s">
        <v>56</v>
      </c>
      <c r="B11" s="5">
        <f>IF('Data Sheet'!B93&gt;0,B10/'Data Sheet'!B93,0)</f>
        <v>14.90749448791243</v>
      </c>
      <c r="C11" s="5">
        <f>IF('Data Sheet'!C93&gt;0,C10/'Data Sheet'!C93,0)</f>
        <v>17.831702053870757</v>
      </c>
      <c r="D11" s="5">
        <f>IF('Data Sheet'!D93&gt;0,D10/'Data Sheet'!D93,0)</f>
        <v>20.501257665332503</v>
      </c>
      <c r="E11" s="5">
        <f>IF('Data Sheet'!E93&gt;0,E10/'Data Sheet'!E93,0)</f>
        <v>24.85177721445115</v>
      </c>
      <c r="F11" s="5">
        <f>IF('Data Sheet'!F93&gt;0,F10/'Data Sheet'!F93,0)</f>
        <v>28.872088593818024</v>
      </c>
      <c r="G11" s="5">
        <f>IF('Data Sheet'!G93&gt;0,G10/'Data Sheet'!G93,0)</f>
        <v>34.309265988044473</v>
      </c>
      <c r="H11" s="5">
        <f>IF('Data Sheet'!H93&gt;0,H10/'Data Sheet'!H93,0)</f>
        <v>41.217895066983289</v>
      </c>
      <c r="I11" s="5">
        <f>IF('Data Sheet'!I93&gt;0,I10/'Data Sheet'!I93,0)</f>
        <v>42.163277126196206</v>
      </c>
      <c r="J11" s="5">
        <f>IF('Data Sheet'!J93&gt;0,J10/'Data Sheet'!J93,0)</f>
        <v>46.256142024515825</v>
      </c>
      <c r="K11" s="5">
        <f>IF('Data Sheet'!K93&gt;0,K10/'Data Sheet'!K93,0)</f>
        <v>49.388679563968978</v>
      </c>
      <c r="L11" s="5">
        <f>IF('Data Sheet'!$B6&gt;0,'Profit &amp; Loss'!L10/'Data Sheet'!$B6,0)</f>
        <v>51.259797769136739</v>
      </c>
      <c r="M11" s="5">
        <f>IF('Data Sheet'!$B6&gt;0,'Profit &amp; Loss'!M10/'Data Sheet'!$B6,0)</f>
        <v>1.6739298390069604</v>
      </c>
      <c r="N11" s="5">
        <f>IF('Data Sheet'!$B6&gt;0,'Profit &amp; Loss'!N10/'Data Sheet'!$B6,0)</f>
        <v>-17.136181221680452</v>
      </c>
    </row>
    <row r="12" spans="1:14" x14ac:dyDescent="0.35">
      <c r="A12" t="s">
        <v>15</v>
      </c>
      <c r="B12" s="5">
        <f>IF(B13&gt;0,B13/B11,"")</f>
        <v>24.191858685067483</v>
      </c>
      <c r="C12" s="5">
        <f t="shared" ref="C12:K12" si="2">IF(C13&gt;0,C13/C11,"")</f>
        <v>26.443353448564615</v>
      </c>
      <c r="D12" s="5">
        <f t="shared" si="2"/>
        <v>28.277777366815879</v>
      </c>
      <c r="E12" s="5">
        <f t="shared" si="2"/>
        <v>17.340812139157812</v>
      </c>
      <c r="F12" s="5">
        <f t="shared" si="2"/>
        <v>25.866850524970623</v>
      </c>
      <c r="G12" s="5">
        <f t="shared" si="2"/>
        <v>21.428030557581248</v>
      </c>
      <c r="H12" s="5">
        <f t="shared" si="2"/>
        <v>19.525014528086654</v>
      </c>
      <c r="I12" s="5">
        <f t="shared" si="2"/>
        <v>17.170154915453836</v>
      </c>
      <c r="J12" s="5">
        <f t="shared" si="2"/>
        <v>19.761699960094504</v>
      </c>
      <c r="K12" s="5">
        <f t="shared" si="2"/>
        <v>14.812098773616434</v>
      </c>
      <c r="L12" s="5">
        <f t="shared" ref="L12" si="3">IF(L11&gt;0,L13/L11,0)</f>
        <v>13.816870741273851</v>
      </c>
      <c r="M12" s="5">
        <f>M23</f>
        <v>16.390206097609656</v>
      </c>
      <c r="N12" s="5">
        <f>N23</f>
        <v>13.816870741273851</v>
      </c>
    </row>
    <row r="13" spans="1:14" s="2" customFormat="1" x14ac:dyDescent="0.35">
      <c r="A13" s="2" t="s">
        <v>57</v>
      </c>
      <c r="B13" s="1">
        <f>'Data Sheet'!B90</f>
        <v>360.64</v>
      </c>
      <c r="C13" s="1">
        <f>'Data Sheet'!C90</f>
        <v>471.53</v>
      </c>
      <c r="D13" s="1">
        <f>'Data Sheet'!D90</f>
        <v>579.73</v>
      </c>
      <c r="E13" s="1">
        <f>'Data Sheet'!E90</f>
        <v>430.95</v>
      </c>
      <c r="F13" s="1">
        <f>'Data Sheet'!F90</f>
        <v>746.83</v>
      </c>
      <c r="G13" s="1">
        <f>'Data Sheet'!G90</f>
        <v>735.18</v>
      </c>
      <c r="H13" s="1">
        <f>'Data Sheet'!H90</f>
        <v>804.78</v>
      </c>
      <c r="I13" s="1">
        <f>'Data Sheet'!I90</f>
        <v>723.95</v>
      </c>
      <c r="J13" s="1">
        <f>'Data Sheet'!J90</f>
        <v>914.1</v>
      </c>
      <c r="K13" s="1">
        <f>'Data Sheet'!K90</f>
        <v>731.55</v>
      </c>
      <c r="L13" s="1">
        <f>'Data Sheet'!B8</f>
        <v>708.25</v>
      </c>
      <c r="M13" s="7">
        <f>M11*M12</f>
        <v>27.436055054262631</v>
      </c>
      <c r="N13" s="8">
        <f>N11*N12</f>
        <v>-236.76840093900304</v>
      </c>
    </row>
    <row r="15" spans="1:14" s="2" customFormat="1" x14ac:dyDescent="0.35">
      <c r="A15" s="2" t="s">
        <v>14</v>
      </c>
    </row>
    <row r="16" spans="1:14" x14ac:dyDescent="0.35">
      <c r="A16" t="s">
        <v>16</v>
      </c>
      <c r="B16" s="4">
        <f>IF('Data Sheet'!B30&gt;0, 'Data Sheet'!B31/'Data Sheet'!B30, 0)</f>
        <v>0.18447064490120732</v>
      </c>
      <c r="C16" s="4">
        <f>IF('Data Sheet'!C30&gt;0, 'Data Sheet'!C31/'Data Sheet'!C30, 0)</f>
        <v>0.18225966260436238</v>
      </c>
      <c r="D16" s="4">
        <f>IF('Data Sheet'!D30&gt;0, 'Data Sheet'!D31/'Data Sheet'!D30, 0)</f>
        <v>0.18291560748203398</v>
      </c>
      <c r="E16" s="4">
        <f>IF('Data Sheet'!E30&gt;0, 'Data Sheet'!E31/'Data Sheet'!E30, 0)</f>
        <v>5.0298030193788416E-2</v>
      </c>
      <c r="F16" s="4">
        <f>IF('Data Sheet'!F30&gt;0, 'Data Sheet'!F31/'Data Sheet'!F30, 0)</f>
        <v>0.11256546229550837</v>
      </c>
      <c r="G16" s="4">
        <f>IF('Data Sheet'!G30&gt;0, 'Data Sheet'!G31/'Data Sheet'!G30, 0)</f>
        <v>0.22588433161860838</v>
      </c>
      <c r="H16" s="4">
        <f>IF('Data Sheet'!H30&gt;0, 'Data Sheet'!H31/'Data Sheet'!H30, 0)</f>
        <v>0.23048034974371218</v>
      </c>
      <c r="I16" s="4">
        <f>IF('Data Sheet'!I30&gt;0, 'Data Sheet'!I31/'Data Sheet'!I30, 0)</f>
        <v>0.23124396288347981</v>
      </c>
      <c r="J16" s="4">
        <f>IF('Data Sheet'!J30&gt;0, 'Data Sheet'!J31/'Data Sheet'!J30, 0)</f>
        <v>0.2378062570408484</v>
      </c>
      <c r="K16" s="4">
        <f>IF('Data Sheet'!K30&gt;0, 'Data Sheet'!K31/'Data Sheet'!K30, 0)</f>
        <v>0.31383710066441772</v>
      </c>
    </row>
    <row r="17" spans="1:14" x14ac:dyDescent="0.35">
      <c r="A17" t="s">
        <v>17</v>
      </c>
      <c r="B17" s="4">
        <f t="shared" ref="B17:L17" si="4">IF(B4&gt;0,B4/B2,0)</f>
        <v>0.67441994722357379</v>
      </c>
      <c r="C17" s="4">
        <f t="shared" ref="C17:K17" si="5">IF(C4&gt;0,C4/C2,0)</f>
        <v>0.6537342251838012</v>
      </c>
      <c r="D17" s="4">
        <f t="shared" si="5"/>
        <v>0.6685429372216285</v>
      </c>
      <c r="E17" s="4">
        <f t="shared" si="5"/>
        <v>0.62796076481007457</v>
      </c>
      <c r="F17" s="4">
        <f t="shared" si="5"/>
        <v>0.59194437443408288</v>
      </c>
      <c r="G17" s="4">
        <f t="shared" si="5"/>
        <v>0.58394546391213364</v>
      </c>
      <c r="H17" s="4">
        <f t="shared" si="5"/>
        <v>0.63080055787842215</v>
      </c>
      <c r="I17" s="4">
        <f t="shared" si="5"/>
        <v>0.3858764609868916</v>
      </c>
      <c r="J17" s="4">
        <f t="shared" si="5"/>
        <v>0.44413628275484335</v>
      </c>
      <c r="K17" s="4">
        <f t="shared" si="5"/>
        <v>0.41587383680829709</v>
      </c>
      <c r="L17" s="4">
        <f t="shared" si="4"/>
        <v>0.42690618327438679</v>
      </c>
    </row>
    <row r="18" spans="1:14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4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4" s="2" customFormat="1" x14ac:dyDescent="0.35">
      <c r="A20" s="10"/>
      <c r="B20" s="11"/>
      <c r="C20" s="11"/>
      <c r="D20" s="11"/>
      <c r="E20" s="11"/>
      <c r="F20" s="11"/>
      <c r="G20" s="11" t="s">
        <v>18</v>
      </c>
      <c r="H20" s="11" t="s">
        <v>64</v>
      </c>
      <c r="I20" s="11" t="s">
        <v>65</v>
      </c>
      <c r="J20" s="11" t="s">
        <v>66</v>
      </c>
      <c r="K20" s="11" t="s">
        <v>67</v>
      </c>
      <c r="L20" s="12" t="s">
        <v>68</v>
      </c>
      <c r="M20" s="12" t="s">
        <v>19</v>
      </c>
      <c r="N20" s="12" t="s">
        <v>20</v>
      </c>
    </row>
    <row r="21" spans="1:14" s="2" customFormat="1" x14ac:dyDescent="0.35">
      <c r="A21"/>
      <c r="B21"/>
      <c r="C21"/>
      <c r="D21"/>
      <c r="E21"/>
      <c r="F21"/>
      <c r="G21" t="s">
        <v>21</v>
      </c>
      <c r="H21" s="4">
        <f>IF(B2=0,"",POWER($K2/B2,1/9)-1)</f>
        <v>0.1892358891985535</v>
      </c>
      <c r="I21" s="4">
        <f>IF(D2=0,"",POWER($K2/D2,1/7)-1)</f>
        <v>0.18674138860297163</v>
      </c>
      <c r="J21" s="4">
        <f>IF(F2=0,"",POWER($K2/F2,1/5)-1)</f>
        <v>0.22082443593310108</v>
      </c>
      <c r="K21" s="4">
        <f>IF(H2=0,"",POWER($K2/H2, 1/3)-1)</f>
        <v>0.26860109268126653</v>
      </c>
      <c r="L21" s="4">
        <f>IF(ISERROR(MAX(IF(J2=0,"",(K2-J2)/J2),IF(K2=0,"",(L2-K2)/K2))),"",MAX(IF(J2=0,"",(K2-J2)/J2),IF(K2=0,"",(L2-K2)/K2)))</f>
        <v>3.6411729875273684E-2</v>
      </c>
      <c r="M21" s="15">
        <f>MAX(K21:L21)</f>
        <v>0.26860109268126653</v>
      </c>
      <c r="N21" s="15">
        <f>MIN(H21:L21)</f>
        <v>3.6411729875273684E-2</v>
      </c>
    </row>
    <row r="22" spans="1:14" x14ac:dyDescent="0.35">
      <c r="G22" t="s">
        <v>17</v>
      </c>
      <c r="H22" s="4">
        <f>IF(SUM(B2:$K$2)=0,"",SUMPRODUCT(B17:$K$17,B2:$K$2)/SUM(B2:$K$2))</f>
        <v>0.51359236888337256</v>
      </c>
      <c r="I22" s="4">
        <f>IF(SUM(E2:$K$2)=0,"",SUMPRODUCT(E17:$K$17,E2:$K$2)/SUM(E2:$K$2))</f>
        <v>0.48736072133290631</v>
      </c>
      <c r="J22" s="4">
        <f>IF(SUM(G2:$K$2)=0,"",SUMPRODUCT(G17:$K$17,G2:$K$2)/SUM(G2:$K$2))</f>
        <v>0.46334772880820396</v>
      </c>
      <c r="K22" s="4">
        <f>IF(SUM(I2:$K$2)=0, "", SUMPRODUCT(I17:$K$17,I2:$K$2)/SUM(I2:$K$2))</f>
        <v>0.41690399115618365</v>
      </c>
      <c r="L22" s="4">
        <f>L17</f>
        <v>0.42690618327438679</v>
      </c>
      <c r="M22" s="15">
        <f>MAX(K22:L22)</f>
        <v>0.42690618327438679</v>
      </c>
      <c r="N22" s="15">
        <f>MIN(H22:L22)</f>
        <v>0.41690399115618365</v>
      </c>
    </row>
    <row r="23" spans="1:14" x14ac:dyDescent="0.35">
      <c r="G23" t="s">
        <v>22</v>
      </c>
      <c r="H23" s="5">
        <f>IF(ISERROR(AVERAGEIF(B12:$L12,"&gt;0")),"",AVERAGEIF(B12:$L12,"&gt;0"))</f>
        <v>20.784956512789361</v>
      </c>
      <c r="I23" s="5">
        <f>IF(ISERROR(AVERAGEIF(E12:$L12,"&gt;0")),"",AVERAGEIF(E12:$L12,"&gt;0"))</f>
        <v>18.715191517529369</v>
      </c>
      <c r="J23" s="5">
        <f>IF(ISERROR(AVERAGEIF(G12:$L12,"&gt;0")),"",AVERAGEIF(G12:$L12,"&gt;0"))</f>
        <v>17.752311579351087</v>
      </c>
      <c r="K23" s="5">
        <f>IF(ISERROR(AVERAGEIF(I12:$L12,"&gt;0")),"",AVERAGEIF(I12:$L12,"&gt;0"))</f>
        <v>16.390206097609656</v>
      </c>
      <c r="L23" s="5">
        <f>L12</f>
        <v>13.816870741273851</v>
      </c>
      <c r="M23" s="1">
        <f>MAX(K23:L23)</f>
        <v>16.390206097609656</v>
      </c>
      <c r="N23" s="1">
        <f>MIN(H23:L23)</f>
        <v>13.816870741273851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0"/>
  <sheetViews>
    <sheetView zoomScale="150" workbookViewId="0">
      <pane xSplit="1" ySplit="1" topLeftCell="D2" activePane="bottomRight" state="frozen"/>
      <selection pane="topRight" activeCell="B1" sqref="B1"/>
      <selection pane="bottomLeft" activeCell="A4" sqref="A4"/>
      <selection pane="bottomRight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10" t="s">
        <v>1</v>
      </c>
      <c r="B1" s="11">
        <f>'Data Sheet'!B41</f>
        <v>45382</v>
      </c>
      <c r="C1" s="11">
        <f>'Data Sheet'!C41</f>
        <v>45473</v>
      </c>
      <c r="D1" s="11">
        <f>'Data Sheet'!D41</f>
        <v>45565</v>
      </c>
      <c r="E1" s="11">
        <f>'Data Sheet'!E41</f>
        <v>45657</v>
      </c>
      <c r="F1" s="11">
        <f>'Data Sheet'!F41</f>
        <v>45747</v>
      </c>
      <c r="G1" s="11">
        <f>'Data Sheet'!G41</f>
        <v>45838</v>
      </c>
      <c r="H1" s="11">
        <f>'Data Sheet'!H41</f>
        <v>45930</v>
      </c>
      <c r="I1" s="11">
        <f>'Data Sheet'!I41</f>
        <v>46022</v>
      </c>
      <c r="J1" s="11">
        <f>'Data Sheet'!J41</f>
        <v>46112</v>
      </c>
      <c r="K1" s="11">
        <f>'Data Sheet'!K41</f>
        <v>46203</v>
      </c>
    </row>
    <row r="2" spans="1:11" s="2" customFormat="1" x14ac:dyDescent="0.35">
      <c r="A2" s="2" t="s">
        <v>5</v>
      </c>
      <c r="B2" s="1">
        <f>'Data Sheet'!B42</f>
        <v>79433.61</v>
      </c>
      <c r="C2" s="1">
        <f>'Data Sheet'!C42</f>
        <v>81546.2</v>
      </c>
      <c r="D2" s="1">
        <f>'Data Sheet'!D42</f>
        <v>83001.72</v>
      </c>
      <c r="E2" s="1">
        <f>'Data Sheet'!E42</f>
        <v>85040.17</v>
      </c>
      <c r="F2" s="1">
        <f>'Data Sheet'!F42</f>
        <v>86779.34</v>
      </c>
      <c r="G2" s="1">
        <f>'Data Sheet'!G42</f>
        <v>87371.87</v>
      </c>
      <c r="H2" s="1">
        <f>'Data Sheet'!H42</f>
        <v>86993.84</v>
      </c>
      <c r="I2" s="1">
        <f>'Data Sheet'!I42</f>
        <v>87066.94</v>
      </c>
      <c r="J2" s="1">
        <f>'Data Sheet'!J42</f>
        <v>87182.5</v>
      </c>
      <c r="K2" s="1">
        <f>'Data Sheet'!K42</f>
        <v>90575.33</v>
      </c>
    </row>
    <row r="3" spans="1:11" x14ac:dyDescent="0.35">
      <c r="A3" t="s">
        <v>6</v>
      </c>
      <c r="B3" s="5">
        <f>'Data Sheet'!B43</f>
        <v>62938.45</v>
      </c>
      <c r="C3" s="5">
        <f>'Data Sheet'!C43</f>
        <v>49689.62</v>
      </c>
      <c r="D3" s="5">
        <f>'Data Sheet'!D43</f>
        <v>52074.11</v>
      </c>
      <c r="E3" s="5">
        <f>'Data Sheet'!E43</f>
        <v>41306.79</v>
      </c>
      <c r="F3" s="5">
        <f>'Data Sheet'!F43</f>
        <v>47709.16</v>
      </c>
      <c r="G3" s="5">
        <f>'Data Sheet'!G43</f>
        <v>64496.63</v>
      </c>
      <c r="H3" s="5">
        <f>'Data Sheet'!H43</f>
        <v>45160.88</v>
      </c>
      <c r="I3" s="5">
        <f>'Data Sheet'!I43</f>
        <v>54144.75</v>
      </c>
      <c r="J3" s="5">
        <f>'Data Sheet'!J43</f>
        <v>44027.87</v>
      </c>
      <c r="K3" s="5">
        <f>'Data Sheet'!K43</f>
        <v>58291.57</v>
      </c>
    </row>
    <row r="4" spans="1:11" s="2" customFormat="1" x14ac:dyDescent="0.35">
      <c r="A4" s="2" t="s">
        <v>7</v>
      </c>
      <c r="B4" s="1">
        <f>'Data Sheet'!B50</f>
        <v>16495.16</v>
      </c>
      <c r="C4" s="1">
        <f>'Data Sheet'!C50</f>
        <v>31856.58</v>
      </c>
      <c r="D4" s="1">
        <f>'Data Sheet'!D50</f>
        <v>30927.61</v>
      </c>
      <c r="E4" s="1">
        <f>'Data Sheet'!E50</f>
        <v>43733.38</v>
      </c>
      <c r="F4" s="1">
        <f>'Data Sheet'!F50</f>
        <v>39070.18</v>
      </c>
      <c r="G4" s="1">
        <f>'Data Sheet'!G50</f>
        <v>22875.24</v>
      </c>
      <c r="H4" s="1">
        <f>'Data Sheet'!H50</f>
        <v>41832.959999999999</v>
      </c>
      <c r="I4" s="1">
        <f>'Data Sheet'!I50</f>
        <v>32922.19</v>
      </c>
      <c r="J4" s="1">
        <f>'Data Sheet'!J50</f>
        <v>43154.63</v>
      </c>
      <c r="K4" s="1">
        <f>'Data Sheet'!K50</f>
        <v>32283.759999999998</v>
      </c>
    </row>
    <row r="5" spans="1:11" x14ac:dyDescent="0.35">
      <c r="A5" t="s">
        <v>8</v>
      </c>
      <c r="B5" s="5">
        <f>'Data Sheet'!B44</f>
        <v>44957.74</v>
      </c>
      <c r="C5" s="5">
        <f>'Data Sheet'!C44</f>
        <v>35450.29</v>
      </c>
      <c r="D5" s="5">
        <f>'Data Sheet'!D44</f>
        <v>38455.019999999997</v>
      </c>
      <c r="E5" s="5">
        <f>'Data Sheet'!E44</f>
        <v>27153.77</v>
      </c>
      <c r="F5" s="5">
        <f>'Data Sheet'!F44</f>
        <v>33489.42</v>
      </c>
      <c r="G5" s="5">
        <f>'Data Sheet'!G44</f>
        <v>45683.1</v>
      </c>
      <c r="H5" s="5">
        <f>'Data Sheet'!H44</f>
        <v>31566.79</v>
      </c>
      <c r="I5" s="5">
        <f>'Data Sheet'!I44</f>
        <v>39860.33</v>
      </c>
      <c r="J5" s="5">
        <f>'Data Sheet'!J44</f>
        <v>29737.439999999999</v>
      </c>
      <c r="K5" s="5">
        <f>'Data Sheet'!K44</f>
        <v>42535.03</v>
      </c>
    </row>
    <row r="6" spans="1:11" x14ac:dyDescent="0.35">
      <c r="A6" t="s">
        <v>9</v>
      </c>
      <c r="B6" s="5">
        <f>'Data Sheet'!B45</f>
        <v>0</v>
      </c>
      <c r="C6" s="5">
        <f>'Data Sheet'!C45</f>
        <v>0</v>
      </c>
      <c r="D6" s="5">
        <f>'Data Sheet'!D45</f>
        <v>0</v>
      </c>
      <c r="E6" s="5">
        <f>'Data Sheet'!E45</f>
        <v>0</v>
      </c>
      <c r="F6" s="5">
        <f>'Data Sheet'!F45</f>
        <v>0</v>
      </c>
      <c r="G6" s="5">
        <f>'Data Sheet'!G45</f>
        <v>0</v>
      </c>
      <c r="H6" s="5">
        <f>'Data Sheet'!H45</f>
        <v>0</v>
      </c>
      <c r="I6" s="5">
        <f>'Data Sheet'!I45</f>
        <v>0</v>
      </c>
      <c r="J6" s="5">
        <f>'Data Sheet'!J45</f>
        <v>0</v>
      </c>
      <c r="K6" s="5">
        <f>'Data Sheet'!K45</f>
        <v>0</v>
      </c>
    </row>
    <row r="7" spans="1:11" x14ac:dyDescent="0.35">
      <c r="A7" t="s">
        <v>10</v>
      </c>
      <c r="B7" s="5">
        <f>'Data Sheet'!B46</f>
        <v>43691.51</v>
      </c>
      <c r="C7" s="5">
        <f>'Data Sheet'!C46</f>
        <v>44579.5</v>
      </c>
      <c r="D7" s="5">
        <f>'Data Sheet'!D46</f>
        <v>45414.21</v>
      </c>
      <c r="E7" s="5">
        <f>'Data Sheet'!E46</f>
        <v>46914.28</v>
      </c>
      <c r="F7" s="5">
        <f>'Data Sheet'!F46</f>
        <v>46986.21</v>
      </c>
      <c r="G7" s="5">
        <f>'Data Sheet'!G46</f>
        <v>47708.51</v>
      </c>
      <c r="H7" s="5">
        <f>'Data Sheet'!H46</f>
        <v>46740.86</v>
      </c>
      <c r="I7" s="5">
        <f>'Data Sheet'!I46</f>
        <v>45821.42</v>
      </c>
      <c r="J7" s="5">
        <f>'Data Sheet'!J46</f>
        <v>45220.44</v>
      </c>
      <c r="K7" s="5">
        <f>'Data Sheet'!K46</f>
        <v>47625.63</v>
      </c>
    </row>
    <row r="8" spans="1:11" x14ac:dyDescent="0.35">
      <c r="A8" t="s">
        <v>11</v>
      </c>
      <c r="B8" s="5">
        <f>'Data Sheet'!B47</f>
        <v>17761.39</v>
      </c>
      <c r="C8" s="5">
        <f>'Data Sheet'!C47</f>
        <v>22727.37</v>
      </c>
      <c r="D8" s="5">
        <f>'Data Sheet'!D47</f>
        <v>23968.42</v>
      </c>
      <c r="E8" s="5">
        <f>'Data Sheet'!E47</f>
        <v>23972.87</v>
      </c>
      <c r="F8" s="5">
        <f>'Data Sheet'!F47</f>
        <v>25573.39</v>
      </c>
      <c r="G8" s="5">
        <f>'Data Sheet'!G47</f>
        <v>20849.830000000002</v>
      </c>
      <c r="H8" s="5">
        <f>'Data Sheet'!H47</f>
        <v>26658.89</v>
      </c>
      <c r="I8" s="5">
        <f>'Data Sheet'!I47</f>
        <v>26961.1</v>
      </c>
      <c r="J8" s="5">
        <f>'Data Sheet'!J47</f>
        <v>27671.63</v>
      </c>
      <c r="K8" s="5">
        <f>'Data Sheet'!K47</f>
        <v>27193.16</v>
      </c>
    </row>
    <row r="9" spans="1:11" x14ac:dyDescent="0.35">
      <c r="A9" t="s">
        <v>12</v>
      </c>
      <c r="B9" s="5">
        <f>'Data Sheet'!B48</f>
        <v>-251.48</v>
      </c>
      <c r="C9" s="5">
        <f>'Data Sheet'!C48</f>
        <v>5539.32</v>
      </c>
      <c r="D9" s="5">
        <f>'Data Sheet'!D48</f>
        <v>5340.98</v>
      </c>
      <c r="E9" s="5">
        <f>'Data Sheet'!E48</f>
        <v>5632.76</v>
      </c>
      <c r="F9" s="5">
        <f>'Data Sheet'!F48</f>
        <v>6288.82</v>
      </c>
      <c r="G9" s="5">
        <f>'Data Sheet'!G48</f>
        <v>3759.4</v>
      </c>
      <c r="H9" s="5">
        <f>'Data Sheet'!H48</f>
        <v>6295.12</v>
      </c>
      <c r="I9" s="5">
        <f>'Data Sheet'!I48</f>
        <v>6270.06</v>
      </c>
      <c r="J9" s="5">
        <f>'Data Sheet'!J48</f>
        <v>6597.41</v>
      </c>
      <c r="K9" s="5">
        <f>'Data Sheet'!K48</f>
        <v>6810.47</v>
      </c>
    </row>
    <row r="10" spans="1:11" s="2" customFormat="1" x14ac:dyDescent="0.35">
      <c r="A10" s="2" t="s">
        <v>13</v>
      </c>
      <c r="B10" s="1">
        <f>'Data Sheet'!B49</f>
        <v>17622.38</v>
      </c>
      <c r="C10" s="1">
        <f>'Data Sheet'!C49</f>
        <v>16474.849999999999</v>
      </c>
      <c r="D10" s="1">
        <f>'Data Sheet'!D49</f>
        <v>17825.91</v>
      </c>
      <c r="E10" s="1">
        <f>'Data Sheet'!E49</f>
        <v>17656.61</v>
      </c>
      <c r="F10" s="1">
        <f>'Data Sheet'!F49</f>
        <v>18834.88</v>
      </c>
      <c r="G10" s="1">
        <f>'Data Sheet'!G49</f>
        <v>16257.91</v>
      </c>
      <c r="H10" s="1">
        <f>'Data Sheet'!H49</f>
        <v>19610.669999999998</v>
      </c>
      <c r="I10" s="1">
        <f>'Data Sheet'!I49</f>
        <v>19806.63</v>
      </c>
      <c r="J10" s="1">
        <f>'Data Sheet'!J49</f>
        <v>20350.759999999998</v>
      </c>
      <c r="K10" s="1">
        <f>'Data Sheet'!K49</f>
        <v>19244.71</v>
      </c>
    </row>
    <row r="12" spans="1:11" s="2" customFormat="1" x14ac:dyDescent="0.35">
      <c r="A12" s="2" t="s">
        <v>17</v>
      </c>
      <c r="B12" s="9">
        <f>IF(B2&gt;0,B4/B2,"")</f>
        <v>0.20765970475218234</v>
      </c>
      <c r="C12" s="9">
        <f t="shared" ref="C12:K12" si="0">IF(C2&gt;0,C4/C2,"")</f>
        <v>0.39065683011593433</v>
      </c>
      <c r="D12" s="9">
        <f t="shared" si="0"/>
        <v>0.37261408558762399</v>
      </c>
      <c r="E12" s="9">
        <f t="shared" si="0"/>
        <v>0.51426731625771682</v>
      </c>
      <c r="F12" s="9">
        <f t="shared" si="0"/>
        <v>0.45022444282245061</v>
      </c>
      <c r="G12" s="9">
        <f t="shared" si="0"/>
        <v>0.26181470077268582</v>
      </c>
      <c r="H12" s="9">
        <f t="shared" si="0"/>
        <v>0.48087266868550693</v>
      </c>
      <c r="I12" s="9">
        <f t="shared" si="0"/>
        <v>0.37812503804543951</v>
      </c>
      <c r="J12" s="9">
        <f t="shared" si="0"/>
        <v>0.49499188483927392</v>
      </c>
      <c r="K12" s="9">
        <f t="shared" si="0"/>
        <v>0.35642994621162294</v>
      </c>
    </row>
    <row r="20" s="22" customFormat="1" x14ac:dyDescent="0.35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2"/>
  <sheetViews>
    <sheetView zoomScale="125" workbookViewId="0">
      <pane xSplit="1" ySplit="1" topLeftCell="D4" activePane="bottomRight" state="frozen"/>
      <selection activeCell="C4" sqref="C4"/>
      <selection pane="topRight" activeCell="C4" sqref="C4"/>
      <selection pane="bottomLeft" activeCell="C4" sqref="C4"/>
      <selection pane="bottomRight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x14ac:dyDescent="0.35">
      <c r="A1" s="10" t="s">
        <v>1</v>
      </c>
      <c r="B1" s="11">
        <f>'Data Sheet'!B56</f>
        <v>42825</v>
      </c>
      <c r="C1" s="11">
        <f>'Data Sheet'!C56</f>
        <v>43190</v>
      </c>
      <c r="D1" s="11">
        <f>'Data Sheet'!D56</f>
        <v>43555</v>
      </c>
      <c r="E1" s="11">
        <f>'Data Sheet'!E56</f>
        <v>43921</v>
      </c>
      <c r="F1" s="11">
        <f>'Data Sheet'!F56</f>
        <v>44286</v>
      </c>
      <c r="G1" s="11">
        <f>'Data Sheet'!G56</f>
        <v>44651</v>
      </c>
      <c r="H1" s="11">
        <f>'Data Sheet'!H56</f>
        <v>45016</v>
      </c>
      <c r="I1" s="11">
        <f>'Data Sheet'!I56</f>
        <v>45382</v>
      </c>
      <c r="J1" s="11">
        <f>'Data Sheet'!J56</f>
        <v>45747</v>
      </c>
      <c r="K1" s="11">
        <f>'Data Sheet'!K56</f>
        <v>46112</v>
      </c>
    </row>
    <row r="2" spans="1:11" x14ac:dyDescent="0.35">
      <c r="A2" t="s">
        <v>23</v>
      </c>
      <c r="B2" s="13">
        <f>'Data Sheet'!B57</f>
        <v>512.51</v>
      </c>
      <c r="C2" s="13">
        <f>'Data Sheet'!C57</f>
        <v>519.02</v>
      </c>
      <c r="D2" s="13">
        <f>'Data Sheet'!D57</f>
        <v>544.66</v>
      </c>
      <c r="E2" s="13">
        <f>'Data Sheet'!E57</f>
        <v>548.33000000000004</v>
      </c>
      <c r="F2" s="13">
        <f>'Data Sheet'!F57</f>
        <v>551.28</v>
      </c>
      <c r="G2" s="13">
        <f>'Data Sheet'!G57</f>
        <v>554.54999999999995</v>
      </c>
      <c r="H2" s="13">
        <f>'Data Sheet'!H57</f>
        <v>557.97</v>
      </c>
      <c r="I2" s="13">
        <f>'Data Sheet'!I57</f>
        <v>759.69</v>
      </c>
      <c r="J2" s="13">
        <f>'Data Sheet'!J57</f>
        <v>765.22</v>
      </c>
      <c r="K2" s="13">
        <f>'Data Sheet'!K57</f>
        <v>1539.34</v>
      </c>
    </row>
    <row r="3" spans="1:11" x14ac:dyDescent="0.35">
      <c r="A3" t="s">
        <v>24</v>
      </c>
      <c r="B3" s="13">
        <f>'Data Sheet'!B58</f>
        <v>91281.44</v>
      </c>
      <c r="C3" s="13">
        <f>'Data Sheet'!C58</f>
        <v>109080.11</v>
      </c>
      <c r="D3" s="13">
        <f>'Data Sheet'!D58</f>
        <v>153128</v>
      </c>
      <c r="E3" s="13">
        <f>'Data Sheet'!E58</f>
        <v>175810.38</v>
      </c>
      <c r="F3" s="13">
        <f>'Data Sheet'!F58</f>
        <v>209258.9</v>
      </c>
      <c r="G3" s="13">
        <f>'Data Sheet'!G58</f>
        <v>246771.62</v>
      </c>
      <c r="H3" s="13">
        <f>'Data Sheet'!H58</f>
        <v>288879.53000000003</v>
      </c>
      <c r="I3" s="13">
        <f>'Data Sheet'!I58</f>
        <v>455635.56</v>
      </c>
      <c r="J3" s="13">
        <f>'Data Sheet'!J58</f>
        <v>521024.17</v>
      </c>
      <c r="K3" s="13">
        <f>'Data Sheet'!K58</f>
        <v>584520.13</v>
      </c>
    </row>
    <row r="4" spans="1:11" x14ac:dyDescent="0.35">
      <c r="A4" t="s">
        <v>70</v>
      </c>
      <c r="B4" s="13">
        <f>'Data Sheet'!B59</f>
        <v>741549.89</v>
      </c>
      <c r="C4" s="13">
        <f>'Data Sheet'!C59</f>
        <v>944817.22</v>
      </c>
      <c r="D4" s="13">
        <f>'Data Sheet'!D59</f>
        <v>1080235.46</v>
      </c>
      <c r="E4" s="13">
        <f>'Data Sheet'!E59</f>
        <v>1333041.45</v>
      </c>
      <c r="F4" s="13">
        <f>'Data Sheet'!F59</f>
        <v>1511417.62</v>
      </c>
      <c r="G4" s="13">
        <f>'Data Sheet'!G59</f>
        <v>1784969.53</v>
      </c>
      <c r="H4" s="13">
        <f>'Data Sheet'!H59</f>
        <v>2139211.91</v>
      </c>
      <c r="I4" s="13">
        <f>'Data Sheet'!I59</f>
        <v>3107502.74</v>
      </c>
      <c r="J4" s="13">
        <f>'Data Sheet'!J59</f>
        <v>3345503.8</v>
      </c>
      <c r="K4" s="13">
        <f>'Data Sheet'!K59</f>
        <v>3688122.84</v>
      </c>
    </row>
    <row r="5" spans="1:11" x14ac:dyDescent="0.35">
      <c r="A5" t="s">
        <v>71</v>
      </c>
      <c r="B5" s="13">
        <f>'Data Sheet'!B60</f>
        <v>59000.32</v>
      </c>
      <c r="C5" s="13">
        <f>'Data Sheet'!C60</f>
        <v>48769.82</v>
      </c>
      <c r="D5" s="13">
        <f>'Data Sheet'!D60</f>
        <v>58897.59</v>
      </c>
      <c r="E5" s="13">
        <f>'Data Sheet'!E60</f>
        <v>71430.27</v>
      </c>
      <c r="F5" s="13">
        <f>'Data Sheet'!F60</f>
        <v>78278.83</v>
      </c>
      <c r="G5" s="13">
        <f>'Data Sheet'!G60</f>
        <v>90638.6</v>
      </c>
      <c r="H5" s="13">
        <f>'Data Sheet'!H60</f>
        <v>101783.03</v>
      </c>
      <c r="I5" s="13">
        <f>'Data Sheet'!I60</f>
        <v>466296.27</v>
      </c>
      <c r="J5" s="13">
        <f>'Data Sheet'!J60</f>
        <v>524816.64000000001</v>
      </c>
      <c r="K5" s="13">
        <f>'Data Sheet'!K60</f>
        <v>633519.03</v>
      </c>
    </row>
    <row r="6" spans="1:11" s="2" customFormat="1" x14ac:dyDescent="0.35">
      <c r="A6" s="2" t="s">
        <v>25</v>
      </c>
      <c r="B6" s="14">
        <f>'Data Sheet'!B61</f>
        <v>892344.16</v>
      </c>
      <c r="C6" s="14">
        <f>'Data Sheet'!C61</f>
        <v>1103186.17</v>
      </c>
      <c r="D6" s="14">
        <f>'Data Sheet'!D61</f>
        <v>1292805.71</v>
      </c>
      <c r="E6" s="14">
        <f>'Data Sheet'!E61</f>
        <v>1580830.43</v>
      </c>
      <c r="F6" s="14">
        <f>'Data Sheet'!F61</f>
        <v>1799506.63</v>
      </c>
      <c r="G6" s="14">
        <f>'Data Sheet'!G61</f>
        <v>2122934.2999999998</v>
      </c>
      <c r="H6" s="14">
        <f>'Data Sheet'!H61</f>
        <v>2530432.44</v>
      </c>
      <c r="I6" s="14">
        <f>'Data Sheet'!I61</f>
        <v>4030194.26</v>
      </c>
      <c r="J6" s="14">
        <f>'Data Sheet'!J61</f>
        <v>4392109.83</v>
      </c>
      <c r="K6" s="14">
        <f>'Data Sheet'!K61</f>
        <v>4907701.34</v>
      </c>
    </row>
    <row r="7" spans="1:11" s="2" customFormat="1" x14ac:dyDescent="0.35"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 x14ac:dyDescent="0.35">
      <c r="A8" t="s">
        <v>26</v>
      </c>
      <c r="B8" s="13">
        <f>'Data Sheet'!B62</f>
        <v>3999.7</v>
      </c>
      <c r="C8" s="13">
        <f>'Data Sheet'!C62</f>
        <v>4008.13</v>
      </c>
      <c r="D8" s="13">
        <f>'Data Sheet'!D62</f>
        <v>4368.63</v>
      </c>
      <c r="E8" s="13">
        <f>'Data Sheet'!E62</f>
        <v>4775.6499999999996</v>
      </c>
      <c r="F8" s="13">
        <f>'Data Sheet'!F62</f>
        <v>5248.35</v>
      </c>
      <c r="G8" s="13">
        <f>'Data Sheet'!G62</f>
        <v>6432.07</v>
      </c>
      <c r="H8" s="13">
        <f>'Data Sheet'!H62</f>
        <v>8431.35</v>
      </c>
      <c r="I8" s="13">
        <f>'Data Sheet'!I62</f>
        <v>12603.76</v>
      </c>
      <c r="J8" s="13">
        <f>'Data Sheet'!J62</f>
        <v>15257.94</v>
      </c>
      <c r="K8" s="13">
        <f>'Data Sheet'!K62</f>
        <v>16491.59</v>
      </c>
    </row>
    <row r="9" spans="1:11" x14ac:dyDescent="0.35">
      <c r="A9" t="s">
        <v>27</v>
      </c>
      <c r="B9" s="13">
        <f>'Data Sheet'!B63</f>
        <v>0</v>
      </c>
      <c r="C9" s="13">
        <f>'Data Sheet'!C63</f>
        <v>0</v>
      </c>
      <c r="D9" s="13">
        <f>'Data Sheet'!D63</f>
        <v>0</v>
      </c>
      <c r="E9" s="13">
        <f>'Data Sheet'!E63</f>
        <v>0</v>
      </c>
      <c r="F9" s="13">
        <f>'Data Sheet'!F63</f>
        <v>0</v>
      </c>
      <c r="G9" s="13">
        <f>'Data Sheet'!G63</f>
        <v>0</v>
      </c>
      <c r="H9" s="13">
        <f>'Data Sheet'!H63</f>
        <v>0</v>
      </c>
      <c r="I9" s="13">
        <f>'Data Sheet'!I63</f>
        <v>0</v>
      </c>
      <c r="J9" s="13">
        <f>'Data Sheet'!J63</f>
        <v>0</v>
      </c>
      <c r="K9" s="13">
        <f>'Data Sheet'!K63</f>
        <v>0</v>
      </c>
    </row>
    <row r="10" spans="1:11" x14ac:dyDescent="0.35">
      <c r="A10" t="s">
        <v>28</v>
      </c>
      <c r="B10" s="13">
        <f>'Data Sheet'!B64</f>
        <v>210777.11</v>
      </c>
      <c r="C10" s="13">
        <f>'Data Sheet'!C64</f>
        <v>238460.92</v>
      </c>
      <c r="D10" s="13">
        <f>'Data Sheet'!D64</f>
        <v>289445.87</v>
      </c>
      <c r="E10" s="13">
        <f>'Data Sheet'!E64</f>
        <v>389304.95</v>
      </c>
      <c r="F10" s="13">
        <f>'Data Sheet'!F64</f>
        <v>438823.11</v>
      </c>
      <c r="G10" s="13">
        <f>'Data Sheet'!G64</f>
        <v>449263.86</v>
      </c>
      <c r="H10" s="13">
        <f>'Data Sheet'!H64</f>
        <v>511581.71</v>
      </c>
      <c r="I10" s="13">
        <f>'Data Sheet'!I64</f>
        <v>1005681.63</v>
      </c>
      <c r="J10" s="13">
        <f>'Data Sheet'!J64</f>
        <v>1186472.8899999999</v>
      </c>
      <c r="K10" s="13">
        <f>'Data Sheet'!K64</f>
        <v>1280216.29</v>
      </c>
    </row>
    <row r="11" spans="1:11" x14ac:dyDescent="0.35">
      <c r="A11" t="s">
        <v>72</v>
      </c>
      <c r="B11" s="13">
        <f>'Data Sheet'!B65</f>
        <v>677567.35</v>
      </c>
      <c r="C11" s="13">
        <f>'Data Sheet'!C65</f>
        <v>860717.12</v>
      </c>
      <c r="D11" s="13">
        <f>'Data Sheet'!D65</f>
        <v>998991.21</v>
      </c>
      <c r="E11" s="13">
        <f>'Data Sheet'!E65</f>
        <v>1186749.83</v>
      </c>
      <c r="F11" s="13">
        <f>'Data Sheet'!F65</f>
        <v>1355435.17</v>
      </c>
      <c r="G11" s="13">
        <f>'Data Sheet'!G65</f>
        <v>1667238.37</v>
      </c>
      <c r="H11" s="13">
        <f>'Data Sheet'!H65</f>
        <v>2010419.38</v>
      </c>
      <c r="I11" s="13">
        <f>'Data Sheet'!I65</f>
        <v>3011908.87</v>
      </c>
      <c r="J11" s="13">
        <f>'Data Sheet'!J65</f>
        <v>3190379</v>
      </c>
      <c r="K11" s="13">
        <f>'Data Sheet'!K65</f>
        <v>3610993.46</v>
      </c>
    </row>
    <row r="12" spans="1:11" s="2" customFormat="1" x14ac:dyDescent="0.35">
      <c r="A12" s="2" t="s">
        <v>25</v>
      </c>
      <c r="B12" s="13">
        <f>'Data Sheet'!B66</f>
        <v>892344.16</v>
      </c>
      <c r="C12" s="13">
        <f>'Data Sheet'!C66</f>
        <v>1103186.17</v>
      </c>
      <c r="D12" s="13">
        <f>'Data Sheet'!D66</f>
        <v>1292805.71</v>
      </c>
      <c r="E12" s="13">
        <f>'Data Sheet'!E66</f>
        <v>1580830.43</v>
      </c>
      <c r="F12" s="13">
        <f>'Data Sheet'!F66</f>
        <v>1799506.63</v>
      </c>
      <c r="G12" s="13">
        <f>'Data Sheet'!G66</f>
        <v>2122934.2999999998</v>
      </c>
      <c r="H12" s="13">
        <f>'Data Sheet'!H66</f>
        <v>2530432.44</v>
      </c>
      <c r="I12" s="13">
        <f>'Data Sheet'!I66</f>
        <v>4030194.26</v>
      </c>
      <c r="J12" s="13">
        <f>'Data Sheet'!J66</f>
        <v>4392109.83</v>
      </c>
      <c r="K12" s="13">
        <f>'Data Sheet'!K66</f>
        <v>4907701.34</v>
      </c>
    </row>
    <row r="13" spans="1:1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5">
      <c r="A14" t="s">
        <v>29</v>
      </c>
      <c r="B14" s="3">
        <f>B11-B5</f>
        <v>618567.03</v>
      </c>
      <c r="C14" s="3">
        <f t="shared" ref="C14:K14" si="0">C11-C5</f>
        <v>811947.3</v>
      </c>
      <c r="D14" s="3">
        <f t="shared" si="0"/>
        <v>940093.62</v>
      </c>
      <c r="E14" s="3">
        <f t="shared" si="0"/>
        <v>1115319.56</v>
      </c>
      <c r="F14" s="3">
        <f t="shared" si="0"/>
        <v>1277156.3399999999</v>
      </c>
      <c r="G14" s="3">
        <f t="shared" si="0"/>
        <v>1576599.77</v>
      </c>
      <c r="H14" s="3">
        <f t="shared" si="0"/>
        <v>1908636.3499999999</v>
      </c>
      <c r="I14" s="3">
        <f t="shared" si="0"/>
        <v>2545612.6</v>
      </c>
      <c r="J14" s="3">
        <f t="shared" si="0"/>
        <v>2665562.36</v>
      </c>
      <c r="K14" s="3">
        <f t="shared" si="0"/>
        <v>2977474.4299999997</v>
      </c>
    </row>
    <row r="15" spans="1:11" x14ac:dyDescent="0.35">
      <c r="A15" t="s">
        <v>43</v>
      </c>
      <c r="B15" s="3">
        <f>'Data Sheet'!B67</f>
        <v>0</v>
      </c>
      <c r="C15" s="3">
        <f>'Data Sheet'!C67</f>
        <v>0</v>
      </c>
      <c r="D15" s="3">
        <f>'Data Sheet'!D67</f>
        <v>0</v>
      </c>
      <c r="E15" s="3">
        <f>'Data Sheet'!E67</f>
        <v>0</v>
      </c>
      <c r="F15" s="3">
        <f>'Data Sheet'!F67</f>
        <v>0</v>
      </c>
      <c r="G15" s="3">
        <f>'Data Sheet'!G67</f>
        <v>0</v>
      </c>
      <c r="H15" s="3">
        <f>'Data Sheet'!H67</f>
        <v>0</v>
      </c>
      <c r="I15" s="3">
        <f>'Data Sheet'!I67</f>
        <v>0</v>
      </c>
      <c r="J15" s="3">
        <f>'Data Sheet'!J67</f>
        <v>0</v>
      </c>
      <c r="K15" s="3">
        <f>'Data Sheet'!K67</f>
        <v>0</v>
      </c>
    </row>
    <row r="16" spans="1:11" x14ac:dyDescent="0.35">
      <c r="A16" t="s">
        <v>44</v>
      </c>
      <c r="B16" s="3">
        <f>'Data Sheet'!B68</f>
        <v>0</v>
      </c>
      <c r="C16" s="3">
        <f>'Data Sheet'!C68</f>
        <v>0</v>
      </c>
      <c r="D16" s="3">
        <f>'Data Sheet'!D68</f>
        <v>0</v>
      </c>
      <c r="E16" s="3">
        <f>'Data Sheet'!E68</f>
        <v>0</v>
      </c>
      <c r="F16" s="3">
        <f>'Data Sheet'!F68</f>
        <v>0</v>
      </c>
      <c r="G16" s="3">
        <f>'Data Sheet'!G68</f>
        <v>0</v>
      </c>
      <c r="H16" s="3">
        <f>'Data Sheet'!H68</f>
        <v>0</v>
      </c>
      <c r="I16" s="3">
        <f>'Data Sheet'!I68</f>
        <v>0</v>
      </c>
      <c r="J16" s="3">
        <f>'Data Sheet'!J68</f>
        <v>0</v>
      </c>
      <c r="K16" s="3">
        <f>'Data Sheet'!K68</f>
        <v>0</v>
      </c>
    </row>
    <row r="18" spans="1:11" x14ac:dyDescent="0.35">
      <c r="A18" t="s">
        <v>45</v>
      </c>
      <c r="B18" s="3">
        <f>IF('Profit &amp; Loss'!B2&gt;0,'Balance Sheet'!B15/('Profit &amp; Loss'!B2/365),0)</f>
        <v>0</v>
      </c>
      <c r="C18" s="3">
        <f>IF('Profit &amp; Loss'!C2&gt;0,'Balance Sheet'!C15/('Profit &amp; Loss'!C2/365),0)</f>
        <v>0</v>
      </c>
      <c r="D18" s="3">
        <f>IF('Profit &amp; Loss'!D2&gt;0,'Balance Sheet'!D15/('Profit &amp; Loss'!D2/365),0)</f>
        <v>0</v>
      </c>
      <c r="E18" s="3">
        <f>IF('Profit &amp; Loss'!E2&gt;0,'Balance Sheet'!E15/('Profit &amp; Loss'!E2/365),0)</f>
        <v>0</v>
      </c>
      <c r="F18" s="3">
        <f>IF('Profit &amp; Loss'!F2&gt;0,'Balance Sheet'!F15/('Profit &amp; Loss'!F2/365),0)</f>
        <v>0</v>
      </c>
      <c r="G18" s="3">
        <f>IF('Profit &amp; Loss'!G2&gt;0,'Balance Sheet'!G15/('Profit &amp; Loss'!G2/365),0)</f>
        <v>0</v>
      </c>
      <c r="H18" s="3">
        <f>IF('Profit &amp; Loss'!H2&gt;0,'Balance Sheet'!H15/('Profit &amp; Loss'!H2/365),0)</f>
        <v>0</v>
      </c>
      <c r="I18" s="3">
        <f>IF('Profit &amp; Loss'!I2&gt;0,'Balance Sheet'!I15/('Profit &amp; Loss'!I2/365),0)</f>
        <v>0</v>
      </c>
      <c r="J18" s="3">
        <f>IF('Profit &amp; Loss'!J2&gt;0,'Balance Sheet'!J15/('Profit &amp; Loss'!J2/365),0)</f>
        <v>0</v>
      </c>
      <c r="K18" s="3">
        <f>IF('Profit &amp; Loss'!K2&gt;0,'Balance Sheet'!K15/('Profit &amp; Loss'!K2/365),0)</f>
        <v>0</v>
      </c>
    </row>
    <row r="19" spans="1:11" x14ac:dyDescent="0.35">
      <c r="A19" t="s">
        <v>46</v>
      </c>
      <c r="B19" s="3">
        <f>IF('Balance Sheet'!B16&gt;0,'Profit &amp; Loss'!B2/'Balance Sheet'!B16,0)</f>
        <v>0</v>
      </c>
      <c r="C19" s="3">
        <f>IF('Balance Sheet'!C16&gt;0,'Profit &amp; Loss'!C2/'Balance Sheet'!C16,0)</f>
        <v>0</v>
      </c>
      <c r="D19" s="3">
        <f>IF('Balance Sheet'!D16&gt;0,'Profit &amp; Loss'!D2/'Balance Sheet'!D16,0)</f>
        <v>0</v>
      </c>
      <c r="E19" s="3">
        <f>IF('Balance Sheet'!E16&gt;0,'Profit &amp; Loss'!E2/'Balance Sheet'!E16,0)</f>
        <v>0</v>
      </c>
      <c r="F19" s="3">
        <f>IF('Balance Sheet'!F16&gt;0,'Profit &amp; Loss'!F2/'Balance Sheet'!F16,0)</f>
        <v>0</v>
      </c>
      <c r="G19" s="3">
        <f>IF('Balance Sheet'!G16&gt;0,'Profit &amp; Loss'!G2/'Balance Sheet'!G16,0)</f>
        <v>0</v>
      </c>
      <c r="H19" s="3">
        <f>IF('Balance Sheet'!H16&gt;0,'Profit &amp; Loss'!H2/'Balance Sheet'!H16,0)</f>
        <v>0</v>
      </c>
      <c r="I19" s="3">
        <f>IF('Balance Sheet'!I16&gt;0,'Profit &amp; Loss'!I2/'Balance Sheet'!I16,0)</f>
        <v>0</v>
      </c>
      <c r="J19" s="3">
        <f>IF('Balance Sheet'!J16&gt;0,'Profit &amp; Loss'!J2/'Balance Sheet'!J16,0)</f>
        <v>0</v>
      </c>
      <c r="K19" s="3">
        <f>IF('Balance Sheet'!K16&gt;0,'Profit &amp; Loss'!K2/'Balance Sheet'!K16,0)</f>
        <v>0</v>
      </c>
    </row>
    <row r="21" spans="1:11" s="2" customFormat="1" x14ac:dyDescent="0.35">
      <c r="A21" s="2" t="s">
        <v>58</v>
      </c>
      <c r="B21" s="9">
        <f>IF(SUM('Balance Sheet'!B2:B3)&gt;0,'Profit &amp; Loss'!B10/SUM('Balance Sheet'!B2:B3),"")</f>
        <v>0.16646500123374144</v>
      </c>
      <c r="C21" s="9">
        <f>IF(SUM('Balance Sheet'!C2:C3)&gt;0,'Profit &amp; Loss'!C10/SUM('Balance Sheet'!C2:C3),"")</f>
        <v>0.16888838442421941</v>
      </c>
      <c r="D21" s="9">
        <f>IF(SUM('Balance Sheet'!D2:D3)&gt;0,'Profit &amp; Loss'!D10/SUM('Balance Sheet'!D2:D3),"")</f>
        <v>0.14532467909386093</v>
      </c>
      <c r="E21" s="9">
        <f>IF(SUM('Balance Sheet'!E2:E3)&gt;0,'Profit &amp; Loss'!E10/SUM('Balance Sheet'!E2:E3),"")</f>
        <v>0.15453702286663359</v>
      </c>
      <c r="F21" s="9">
        <f>IF(SUM('Balance Sheet'!F2:F3)&gt;0,'Profit &amp; Loss'!F10/SUM('Balance Sheet'!F2:F3),"")</f>
        <v>0.15172385820363912</v>
      </c>
      <c r="G21" s="9">
        <f>IF(SUM('Balance Sheet'!G2:G3)&gt;0,'Profit &amp; Loss'!G10/SUM('Balance Sheet'!G2:G3),"")</f>
        <v>0.15385654498268422</v>
      </c>
      <c r="H21" s="9">
        <f>IF(SUM('Balance Sheet'!H2:H3)&gt;0,'Profit &amp; Loss'!H10/SUM('Balance Sheet'!H2:H3),"")</f>
        <v>0.1589189721442453</v>
      </c>
      <c r="I21" s="9">
        <f>IF(SUM('Balance Sheet'!I2:I3)&gt;0,'Profit &amp; Loss'!I10/SUM('Balance Sheet'!I2:I3),"")</f>
        <v>0.1403652645377006</v>
      </c>
      <c r="J21" s="9">
        <f>IF(SUM('Balance Sheet'!J2:J3)&gt;0,'Profit &amp; Loss'!J10/SUM('Balance Sheet'!J2:J3),"")</f>
        <v>0.13567207642915086</v>
      </c>
      <c r="K21" s="9">
        <f>IF(SUM('Balance Sheet'!K2:K3)&gt;0,'Profit &amp; Loss'!K10/SUM('Balance Sheet'!K2:K3),"")</f>
        <v>0.12972398517850076</v>
      </c>
    </row>
    <row r="22" spans="1:11" s="2" customFormat="1" x14ac:dyDescent="0.35">
      <c r="A22" s="2" t="s">
        <v>59</v>
      </c>
      <c r="B22" s="9"/>
      <c r="C22" s="9">
        <f>IF((B2+B3+B4+C2+C3+C4)&gt;0,('Profit &amp; Loss'!C8+'Profit &amp; Loss'!C7)*2/(B2+B3+B4+C2+C3+C4),"")</f>
        <v>7.5057626890627449E-2</v>
      </c>
      <c r="D22" s="9">
        <f>IF((C2+C3+C4+D2+D3+D4)&gt;0,('Profit &amp; Loss'!D8+'Profit &amp; Loss'!D7)*2/(C2+C3+C4+D2+D3+D4),"")</f>
        <v>7.6939132674659572E-2</v>
      </c>
      <c r="E22" s="9">
        <f>IF((D2+D3+D4+E2+E3+E4)&gt;0,('Profit &amp; Loss'!E8+'Profit &amp; Loss'!E7)*2/(D2+D3+D4+E2+E3+E4),"")</f>
        <v>7.3146923174088177E-2</v>
      </c>
      <c r="F22" s="9">
        <f>IF((E2+E3+E4+F2+F3+F4)&gt;0,('Profit &amp; Loss'!F8+'Profit &amp; Loss'!F7)*2/(E2+E3+E4+F2+F3+F4),"")</f>
        <v>6.3172696617161697E-2</v>
      </c>
      <c r="G22" s="9">
        <f>IF((F2+F3+F4+G2+G3+G4)&gt;0,('Profit &amp; Loss'!G8+'Profit &amp; Loss'!G7)*2/(F2+F3+F4+G2+G3+G4),"")</f>
        <v>5.8322645375738287E-2</v>
      </c>
      <c r="H22" s="9">
        <f>IF((G2+G3+G4+H2+H3+H4)&gt;0,('Profit &amp; Loss'!H8+'Profit &amp; Loss'!H7)*2/(G2+G3+G4+H2+H3+H4),"")</f>
        <v>6.2443417959921955E-2</v>
      </c>
      <c r="I22" s="9">
        <f>IF((H2+H3+H4+I2+I3+I4)&gt;0,('Profit &amp; Loss'!I8+'Profit &amp; Loss'!I7)*2/(H2+H3+H4+I2+I3+I4),"")</f>
        <v>7.6998022577176431E-2</v>
      </c>
      <c r="J22" s="9">
        <f>IF((I2+I3+I4+J2+J3+J4)&gt;0,('Profit &amp; Loss'!J8+'Profit &amp; Loss'!J7)*2/(I2+I3+I4+J2+J3+J4),"")</f>
        <v>7.5394709465676807E-2</v>
      </c>
      <c r="K22" s="9">
        <f>IF((J2+J3+J4+K2+K3+K4)&gt;0,('Profit &amp; Loss'!K8+'Profit &amp; Loss'!K7)*2/(J2+J3+J4+K2+K3+K4),"")</f>
        <v>7.0658612188908509E-2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6"/>
  <sheetViews>
    <sheetView tabSelected="1" zoomScale="150" zoomScaleNormal="150" zoomScalePageLayoutView="150" workbookViewId="0">
      <pane xSplit="1" ySplit="1" topLeftCell="E2" activePane="bottomRight" state="frozen"/>
      <selection pane="topRight" activeCell="B1" sqref="B1"/>
      <selection pane="bottomLeft" activeCell="A4" sqref="A4"/>
      <selection pane="bottomRight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10" t="s">
        <v>1</v>
      </c>
      <c r="B1" s="11">
        <f>'Data Sheet'!B81</f>
        <v>42825</v>
      </c>
      <c r="C1" s="11">
        <f>'Data Sheet'!C81</f>
        <v>43190</v>
      </c>
      <c r="D1" s="11">
        <f>'Data Sheet'!D81</f>
        <v>43555</v>
      </c>
      <c r="E1" s="11">
        <f>'Data Sheet'!E81</f>
        <v>43921</v>
      </c>
      <c r="F1" s="11">
        <f>'Data Sheet'!F81</f>
        <v>44286</v>
      </c>
      <c r="G1" s="11">
        <f>'Data Sheet'!G81</f>
        <v>44651</v>
      </c>
      <c r="H1" s="11">
        <f>'Data Sheet'!H81</f>
        <v>45016</v>
      </c>
      <c r="I1" s="11">
        <f>'Data Sheet'!I81</f>
        <v>45382</v>
      </c>
      <c r="J1" s="11">
        <f>'Data Sheet'!J81</f>
        <v>45747</v>
      </c>
      <c r="K1" s="11">
        <f>'Data Sheet'!K81</f>
        <v>46112</v>
      </c>
    </row>
    <row r="2" spans="1:11" s="2" customFormat="1" x14ac:dyDescent="0.35">
      <c r="A2" s="2" t="s">
        <v>31</v>
      </c>
      <c r="B2" s="1">
        <f>'Data Sheet'!B82</f>
        <v>17281.59</v>
      </c>
      <c r="C2" s="1">
        <f>'Data Sheet'!C82</f>
        <v>17214.38</v>
      </c>
      <c r="D2" s="1">
        <f>'Data Sheet'!D82</f>
        <v>-62871.54</v>
      </c>
      <c r="E2" s="1">
        <f>'Data Sheet'!E82</f>
        <v>-16869.09</v>
      </c>
      <c r="F2" s="1">
        <f>'Data Sheet'!F82</f>
        <v>42476.45</v>
      </c>
      <c r="G2" s="1">
        <f>'Data Sheet'!G82</f>
        <v>-11959.57</v>
      </c>
      <c r="H2" s="1">
        <f>'Data Sheet'!H82</f>
        <v>20813.7</v>
      </c>
      <c r="I2" s="1">
        <f>'Data Sheet'!I82</f>
        <v>19069.34</v>
      </c>
      <c r="J2" s="1">
        <f>'Data Sheet'!J82</f>
        <v>127241.84</v>
      </c>
      <c r="K2" s="1">
        <f>'Data Sheet'!K82</f>
        <v>113506.38</v>
      </c>
    </row>
    <row r="3" spans="1:11" x14ac:dyDescent="0.35">
      <c r="A3" t="s">
        <v>32</v>
      </c>
      <c r="B3" s="5">
        <f>'Data Sheet'!B83</f>
        <v>-1146.3800000000001</v>
      </c>
      <c r="C3" s="5">
        <f>'Data Sheet'!C83</f>
        <v>-841.6</v>
      </c>
      <c r="D3" s="5">
        <f>'Data Sheet'!D83</f>
        <v>-1503.06</v>
      </c>
      <c r="E3" s="5">
        <f>'Data Sheet'!E83</f>
        <v>-1402.94</v>
      </c>
      <c r="F3" s="5">
        <f>'Data Sheet'!F83</f>
        <v>-1822.7</v>
      </c>
      <c r="G3" s="5">
        <f>'Data Sheet'!G83</f>
        <v>-2051.23</v>
      </c>
      <c r="H3" s="5">
        <f>'Data Sheet'!H83</f>
        <v>-2992.18</v>
      </c>
      <c r="I3" s="5">
        <f>'Data Sheet'!I83</f>
        <v>16600.419999999998</v>
      </c>
      <c r="J3" s="5">
        <f>'Data Sheet'!J83</f>
        <v>-3650.91</v>
      </c>
      <c r="K3" s="5">
        <f>'Data Sheet'!K83</f>
        <v>7476.62</v>
      </c>
    </row>
    <row r="4" spans="1:11" x14ac:dyDescent="0.35">
      <c r="A4" t="s">
        <v>33</v>
      </c>
      <c r="B4" s="5">
        <f>'Data Sheet'!B84</f>
        <v>-5892.97</v>
      </c>
      <c r="C4" s="5">
        <f>'Data Sheet'!C84</f>
        <v>57377.66</v>
      </c>
      <c r="D4" s="5">
        <f>'Data Sheet'!D84</f>
        <v>23130.69</v>
      </c>
      <c r="E4" s="5">
        <f>'Data Sheet'!E84</f>
        <v>24394.5</v>
      </c>
      <c r="F4" s="5">
        <f>'Data Sheet'!F84</f>
        <v>-7321.35</v>
      </c>
      <c r="G4" s="5">
        <f>'Data Sheet'!G84</f>
        <v>48124.02</v>
      </c>
      <c r="H4" s="5">
        <f>'Data Sheet'!H84</f>
        <v>23940.560000000001</v>
      </c>
      <c r="I4" s="5">
        <f>'Data Sheet'!I84</f>
        <v>-3983.06</v>
      </c>
      <c r="J4" s="5">
        <f>'Data Sheet'!J84</f>
        <v>-102477.54</v>
      </c>
      <c r="K4" s="5">
        <f>'Data Sheet'!K84</f>
        <v>-59004.85</v>
      </c>
    </row>
    <row r="5" spans="1:11" s="2" customFormat="1" x14ac:dyDescent="0.35">
      <c r="A5" s="2" t="s">
        <v>34</v>
      </c>
      <c r="B5" s="1">
        <f>'Data Sheet'!B85</f>
        <v>10242.24</v>
      </c>
      <c r="C5" s="1">
        <f>'Data Sheet'!C85</f>
        <v>73750.44</v>
      </c>
      <c r="D5" s="1">
        <f>'Data Sheet'!D85</f>
        <v>-41243.910000000003</v>
      </c>
      <c r="E5" s="1">
        <f>'Data Sheet'!E85</f>
        <v>6122.47</v>
      </c>
      <c r="F5" s="1">
        <f>'Data Sheet'!F85</f>
        <v>33332.400000000001</v>
      </c>
      <c r="G5" s="1">
        <f>'Data Sheet'!G85</f>
        <v>34113.22</v>
      </c>
      <c r="H5" s="1">
        <f>'Data Sheet'!H85</f>
        <v>41762.080000000002</v>
      </c>
      <c r="I5" s="1">
        <f>'Data Sheet'!I85</f>
        <v>31686.7</v>
      </c>
      <c r="J5" s="1">
        <f>'Data Sheet'!J85</f>
        <v>21113.39</v>
      </c>
      <c r="K5" s="1">
        <f>'Data Sheet'!K85</f>
        <v>61978.15</v>
      </c>
    </row>
    <row r="6" spans="1:11" x14ac:dyDescent="0.35">
      <c r="B6" s="5"/>
      <c r="C6" s="5"/>
      <c r="D6" s="5"/>
      <c r="E6" s="5"/>
      <c r="F6" s="5"/>
      <c r="G6" s="5"/>
      <c r="H6" s="5"/>
      <c r="I6" s="5"/>
      <c r="J6" s="5"/>
      <c r="K6" s="5"/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19" customWidth="1"/>
    <col min="6" max="6" width="6.81640625" customWidth="1"/>
  </cols>
  <sheetData>
    <row r="1" spans="1:7" ht="21" x14ac:dyDescent="0.5">
      <c r="A1" s="18" t="s">
        <v>55</v>
      </c>
    </row>
    <row r="3" spans="1:7" x14ac:dyDescent="0.35">
      <c r="A3" s="2" t="s">
        <v>47</v>
      </c>
    </row>
    <row r="4" spans="1:7" x14ac:dyDescent="0.35">
      <c r="B4" t="s">
        <v>89</v>
      </c>
    </row>
    <row r="5" spans="1:7" x14ac:dyDescent="0.35">
      <c r="B5" t="s">
        <v>48</v>
      </c>
    </row>
    <row r="7" spans="1:7" x14ac:dyDescent="0.35">
      <c r="A7" s="2" t="s">
        <v>49</v>
      </c>
    </row>
    <row r="8" spans="1:7" x14ac:dyDescent="0.35">
      <c r="B8" t="s">
        <v>50</v>
      </c>
      <c r="C8" s="20" t="s">
        <v>90</v>
      </c>
    </row>
    <row r="10" spans="1:7" x14ac:dyDescent="0.35">
      <c r="A10" s="2" t="s">
        <v>51</v>
      </c>
    </row>
    <row r="11" spans="1:7" x14ac:dyDescent="0.35">
      <c r="B11" t="s">
        <v>52</v>
      </c>
    </row>
    <row r="14" spans="1:7" x14ac:dyDescent="0.35">
      <c r="A14" s="2" t="s">
        <v>53</v>
      </c>
    </row>
    <row r="15" spans="1:7" x14ac:dyDescent="0.35">
      <c r="B15" t="s">
        <v>54</v>
      </c>
    </row>
    <row r="16" spans="1:7" x14ac:dyDescent="0.35">
      <c r="B16" t="s">
        <v>91</v>
      </c>
      <c r="G16" s="21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1640625" defaultRowHeight="14.5" x14ac:dyDescent="0.35"/>
  <cols>
    <col min="1" max="1" width="27.6328125" style="3" bestFit="1" customWidth="1"/>
    <col min="2" max="11" width="13.453125" style="3" bestFit="1" customWidth="1"/>
    <col min="12" max="16384" width="8.81640625" style="3"/>
  </cols>
  <sheetData>
    <row r="1" spans="1:11" s="1" customFormat="1" x14ac:dyDescent="0.35">
      <c r="A1" s="1" t="s">
        <v>0</v>
      </c>
      <c r="B1" s="1" t="s">
        <v>62</v>
      </c>
      <c r="E1" s="24" t="str">
        <f>IF(B2&lt;&gt;B3, "A NEW VERSION OF THE WORKSHEET IS AVAILABLE", "")</f>
        <v/>
      </c>
      <c r="F1" s="24"/>
      <c r="G1" s="24"/>
      <c r="H1" s="24"/>
      <c r="I1" s="24"/>
      <c r="J1" s="24"/>
      <c r="K1" s="24"/>
    </row>
    <row r="2" spans="1:11" x14ac:dyDescent="0.35">
      <c r="A2" s="1" t="s">
        <v>60</v>
      </c>
      <c r="B2" s="3">
        <v>2.1</v>
      </c>
      <c r="E2" s="25" t="s">
        <v>35</v>
      </c>
      <c r="F2" s="25"/>
      <c r="G2" s="25"/>
      <c r="H2" s="25"/>
      <c r="I2" s="25"/>
      <c r="J2" s="25"/>
      <c r="K2" s="25"/>
    </row>
    <row r="3" spans="1:11" x14ac:dyDescent="0.35">
      <c r="A3" s="1" t="s">
        <v>61</v>
      </c>
      <c r="B3" s="3">
        <v>2.1</v>
      </c>
    </row>
    <row r="4" spans="1:11" x14ac:dyDescent="0.35">
      <c r="A4" s="1"/>
    </row>
    <row r="5" spans="1:11" x14ac:dyDescent="0.35">
      <c r="A5" s="1" t="s">
        <v>63</v>
      </c>
    </row>
    <row r="6" spans="1:11" x14ac:dyDescent="0.35">
      <c r="A6" s="3" t="s">
        <v>41</v>
      </c>
      <c r="B6" s="3">
        <f>IF(B9&gt;0, B9/B8, 0)</f>
        <v>1541.4179032827392</v>
      </c>
    </row>
    <row r="7" spans="1:11" x14ac:dyDescent="0.35">
      <c r="A7" s="3" t="s">
        <v>30</v>
      </c>
      <c r="B7">
        <v>1</v>
      </c>
    </row>
    <row r="8" spans="1:11" x14ac:dyDescent="0.35">
      <c r="A8" s="3" t="s">
        <v>42</v>
      </c>
      <c r="B8">
        <v>708.25</v>
      </c>
    </row>
    <row r="9" spans="1:11" x14ac:dyDescent="0.35">
      <c r="A9" s="3" t="s">
        <v>78</v>
      </c>
      <c r="B9">
        <v>1091709.23</v>
      </c>
    </row>
    <row r="15" spans="1:11" x14ac:dyDescent="0.35">
      <c r="A15" s="1" t="s">
        <v>36</v>
      </c>
    </row>
    <row r="16" spans="1:11" s="17" customFormat="1" x14ac:dyDescent="0.35">
      <c r="A16" s="16" t="s">
        <v>37</v>
      </c>
      <c r="B16" s="11">
        <v>42825</v>
      </c>
      <c r="C16" s="11">
        <v>43190</v>
      </c>
      <c r="D16" s="11">
        <v>43555</v>
      </c>
      <c r="E16" s="11">
        <v>43921</v>
      </c>
      <c r="F16" s="11">
        <v>44286</v>
      </c>
      <c r="G16" s="11">
        <v>44651</v>
      </c>
      <c r="H16" s="11">
        <v>45016</v>
      </c>
      <c r="I16" s="11">
        <v>45382</v>
      </c>
      <c r="J16" s="11">
        <v>45747</v>
      </c>
      <c r="K16" s="11">
        <v>46112</v>
      </c>
    </row>
    <row r="17" spans="1:11" s="5" customFormat="1" x14ac:dyDescent="0.35">
      <c r="A17" s="5" t="s">
        <v>5</v>
      </c>
      <c r="B17">
        <v>73271.350000000006</v>
      </c>
      <c r="C17">
        <v>85287.84</v>
      </c>
      <c r="D17">
        <v>105160.74</v>
      </c>
      <c r="E17">
        <v>122189.29</v>
      </c>
      <c r="F17">
        <v>128552.4</v>
      </c>
      <c r="G17">
        <v>135936.41</v>
      </c>
      <c r="H17">
        <v>170754.05</v>
      </c>
      <c r="I17">
        <v>283649.02</v>
      </c>
      <c r="J17">
        <v>336367.43</v>
      </c>
      <c r="K17">
        <v>348615.15</v>
      </c>
    </row>
    <row r="18" spans="1:11" s="5" customFormat="1" x14ac:dyDescent="0.35">
      <c r="A18" s="3" t="s">
        <v>79</v>
      </c>
    </row>
    <row r="19" spans="1:11" s="5" customFormat="1" x14ac:dyDescent="0.35">
      <c r="A19" s="3" t="s">
        <v>80</v>
      </c>
    </row>
    <row r="20" spans="1:11" s="5" customFormat="1" x14ac:dyDescent="0.35">
      <c r="A20" s="3" t="s">
        <v>81</v>
      </c>
    </row>
    <row r="21" spans="1:11" s="5" customFormat="1" x14ac:dyDescent="0.35">
      <c r="A21" s="3" t="s">
        <v>82</v>
      </c>
      <c r="B21">
        <v>1271.8</v>
      </c>
      <c r="C21">
        <v>1314.97</v>
      </c>
      <c r="D21">
        <v>1283.53</v>
      </c>
      <c r="E21">
        <v>1293.44</v>
      </c>
      <c r="F21">
        <v>1649.11</v>
      </c>
      <c r="G21">
        <v>1772.27</v>
      </c>
      <c r="H21">
        <v>2176.5</v>
      </c>
      <c r="I21">
        <v>3255.75</v>
      </c>
      <c r="J21">
        <v>3943.56</v>
      </c>
      <c r="K21">
        <v>4691.2</v>
      </c>
    </row>
    <row r="22" spans="1:11" s="5" customFormat="1" x14ac:dyDescent="0.35">
      <c r="A22" s="3" t="s">
        <v>83</v>
      </c>
      <c r="B22">
        <v>8508.2199999999993</v>
      </c>
      <c r="C22">
        <v>9197.15</v>
      </c>
      <c r="D22">
        <v>10454.75</v>
      </c>
      <c r="E22">
        <v>12924.1</v>
      </c>
      <c r="F22">
        <v>13682.35</v>
      </c>
      <c r="G22">
        <v>15904.81</v>
      </c>
      <c r="H22">
        <v>20031.36</v>
      </c>
      <c r="I22">
        <v>31050.07</v>
      </c>
      <c r="J22">
        <v>34167.89</v>
      </c>
      <c r="K22">
        <v>37645.25</v>
      </c>
    </row>
    <row r="23" spans="1:11" s="5" customFormat="1" x14ac:dyDescent="0.35">
      <c r="A23" s="3" t="s">
        <v>84</v>
      </c>
      <c r="B23">
        <v>3328.39</v>
      </c>
      <c r="C23">
        <v>3658.43</v>
      </c>
      <c r="D23">
        <v>3900.17</v>
      </c>
      <c r="E23">
        <v>4192.1499999999996</v>
      </c>
      <c r="F23">
        <v>4780.54</v>
      </c>
      <c r="G23">
        <v>5406.79</v>
      </c>
      <c r="H23">
        <v>6580</v>
      </c>
      <c r="I23">
        <v>87580.05</v>
      </c>
      <c r="J23">
        <v>105188.45</v>
      </c>
      <c r="K23">
        <v>103553.02</v>
      </c>
    </row>
    <row r="24" spans="1:11" s="5" customFormat="1" x14ac:dyDescent="0.35">
      <c r="A24" s="3" t="s">
        <v>85</v>
      </c>
      <c r="B24">
        <v>10747.28</v>
      </c>
      <c r="C24">
        <v>15361.71</v>
      </c>
      <c r="D24">
        <v>19217.82</v>
      </c>
      <c r="E24">
        <v>27049.52</v>
      </c>
      <c r="F24">
        <v>32344.53</v>
      </c>
      <c r="G24">
        <v>33473.089999999997</v>
      </c>
      <c r="H24">
        <v>34254.44</v>
      </c>
      <c r="I24">
        <v>52309.67</v>
      </c>
      <c r="J24">
        <v>43674.55</v>
      </c>
      <c r="K24">
        <v>57745.760000000002</v>
      </c>
    </row>
    <row r="25" spans="1:11" s="5" customFormat="1" x14ac:dyDescent="0.35">
      <c r="A25" s="5" t="s">
        <v>8</v>
      </c>
      <c r="B25">
        <v>12905.08</v>
      </c>
      <c r="C25">
        <v>16056.6</v>
      </c>
      <c r="D25">
        <v>18947.05</v>
      </c>
      <c r="E25">
        <v>24878.97</v>
      </c>
      <c r="F25">
        <v>27332.880000000001</v>
      </c>
      <c r="G25">
        <v>31758.99</v>
      </c>
      <c r="H25">
        <v>33912.050000000003</v>
      </c>
      <c r="I25">
        <v>124345.75</v>
      </c>
      <c r="J25">
        <v>134548.5</v>
      </c>
      <c r="K25">
        <v>146847.66</v>
      </c>
    </row>
    <row r="26" spans="1:11" s="5" customFormat="1" x14ac:dyDescent="0.35">
      <c r="A26" s="5" t="s">
        <v>9</v>
      </c>
      <c r="B26">
        <v>886.19</v>
      </c>
      <c r="C26">
        <v>966.78</v>
      </c>
      <c r="D26">
        <v>1220.67</v>
      </c>
      <c r="E26">
        <v>1276.77</v>
      </c>
      <c r="F26">
        <v>1385.01</v>
      </c>
      <c r="G26">
        <v>1680.73</v>
      </c>
      <c r="H26">
        <v>2345.4699999999998</v>
      </c>
      <c r="I26">
        <v>3092.08</v>
      </c>
      <c r="J26">
        <v>3805.23</v>
      </c>
      <c r="K26">
        <v>4194.8999999999996</v>
      </c>
    </row>
    <row r="27" spans="1:11" s="5" customFormat="1" x14ac:dyDescent="0.35">
      <c r="A27" s="5" t="s">
        <v>10</v>
      </c>
      <c r="B27">
        <v>38041.58</v>
      </c>
      <c r="C27">
        <v>42381.48</v>
      </c>
      <c r="D27">
        <v>53712.69</v>
      </c>
      <c r="E27">
        <v>62137.42</v>
      </c>
      <c r="F27">
        <v>59247.59</v>
      </c>
      <c r="G27">
        <v>58584.33</v>
      </c>
      <c r="H27">
        <v>77779.94</v>
      </c>
      <c r="I27">
        <v>154138.54999999999</v>
      </c>
      <c r="J27">
        <v>183894.2</v>
      </c>
      <c r="K27">
        <v>185491.23</v>
      </c>
    </row>
    <row r="28" spans="1:11" s="5" customFormat="1" x14ac:dyDescent="0.35">
      <c r="A28" s="5" t="s">
        <v>11</v>
      </c>
      <c r="B28">
        <v>23392.97</v>
      </c>
      <c r="C28">
        <v>28463.919999999998</v>
      </c>
      <c r="D28">
        <v>34318.160000000003</v>
      </c>
      <c r="E28">
        <v>38194.86</v>
      </c>
      <c r="F28">
        <v>42796.15</v>
      </c>
      <c r="G28">
        <v>50873.38</v>
      </c>
      <c r="H28">
        <v>61498.39</v>
      </c>
      <c r="I28">
        <v>76568.600000000006</v>
      </c>
      <c r="J28">
        <v>96242.05</v>
      </c>
      <c r="K28">
        <v>102141.45</v>
      </c>
    </row>
    <row r="29" spans="1:11" s="5" customFormat="1" x14ac:dyDescent="0.35">
      <c r="A29" s="5" t="s">
        <v>12</v>
      </c>
      <c r="B29">
        <v>8078.12</v>
      </c>
      <c r="C29">
        <v>9903.08</v>
      </c>
      <c r="D29">
        <v>11872.55</v>
      </c>
      <c r="E29">
        <v>10898.59</v>
      </c>
      <c r="F29">
        <v>10939.38</v>
      </c>
      <c r="G29">
        <v>12722.48</v>
      </c>
      <c r="H29">
        <v>15349.69</v>
      </c>
      <c r="I29">
        <v>11122.1</v>
      </c>
      <c r="J29">
        <v>22801.88</v>
      </c>
      <c r="K29">
        <v>22921.99</v>
      </c>
    </row>
    <row r="30" spans="1:11" s="5" customFormat="1" x14ac:dyDescent="0.35">
      <c r="A30" s="5" t="s">
        <v>13</v>
      </c>
      <c r="B30">
        <v>15280.48</v>
      </c>
      <c r="C30">
        <v>18510.02</v>
      </c>
      <c r="D30">
        <v>22332.43</v>
      </c>
      <c r="E30">
        <v>27253.95</v>
      </c>
      <c r="F30">
        <v>31833.21</v>
      </c>
      <c r="G30">
        <v>38052.75</v>
      </c>
      <c r="H30">
        <v>45997.11</v>
      </c>
      <c r="I30">
        <v>64062.04</v>
      </c>
      <c r="J30">
        <v>70792.25</v>
      </c>
      <c r="K30">
        <v>76025.97</v>
      </c>
    </row>
    <row r="31" spans="1:11" s="5" customFormat="1" x14ac:dyDescent="0.35">
      <c r="A31" s="5" t="s">
        <v>69</v>
      </c>
      <c r="B31">
        <v>2818.8</v>
      </c>
      <c r="C31">
        <v>3373.63</v>
      </c>
      <c r="D31">
        <v>4084.95</v>
      </c>
      <c r="E31">
        <v>1370.82</v>
      </c>
      <c r="F31">
        <v>3583.32</v>
      </c>
      <c r="G31">
        <v>8595.52</v>
      </c>
      <c r="H31">
        <v>10601.43</v>
      </c>
      <c r="I31">
        <v>14813.96</v>
      </c>
      <c r="J31">
        <v>16834.84</v>
      </c>
      <c r="K31">
        <v>23859.77</v>
      </c>
    </row>
    <row r="32" spans="1:11" s="5" customFormat="1" x14ac:dyDescent="0.35"/>
    <row r="33" spans="1:11" x14ac:dyDescent="0.35">
      <c r="A33" s="5"/>
    </row>
    <row r="34" spans="1:11" x14ac:dyDescent="0.35">
      <c r="A34" s="5"/>
    </row>
    <row r="35" spans="1:11" x14ac:dyDescent="0.35">
      <c r="A35" s="5"/>
    </row>
    <row r="36" spans="1:11" x14ac:dyDescent="0.35">
      <c r="A36" s="5"/>
    </row>
    <row r="37" spans="1:11" x14ac:dyDescent="0.35">
      <c r="A37" s="5"/>
    </row>
    <row r="38" spans="1:11" x14ac:dyDescent="0.35">
      <c r="A38" s="5"/>
    </row>
    <row r="39" spans="1:11" x14ac:dyDescent="0.35">
      <c r="A39" s="5"/>
    </row>
    <row r="40" spans="1:11" x14ac:dyDescent="0.35">
      <c r="A40" s="1" t="s">
        <v>38</v>
      </c>
    </row>
    <row r="41" spans="1:11" s="17" customFormat="1" x14ac:dyDescent="0.35">
      <c r="A41" s="16" t="s">
        <v>37</v>
      </c>
      <c r="B41" s="11">
        <v>45382</v>
      </c>
      <c r="C41" s="11">
        <v>45473</v>
      </c>
      <c r="D41" s="11">
        <v>45565</v>
      </c>
      <c r="E41" s="11">
        <v>45657</v>
      </c>
      <c r="F41" s="11">
        <v>45747</v>
      </c>
      <c r="G41" s="11">
        <v>45838</v>
      </c>
      <c r="H41" s="11">
        <v>45930</v>
      </c>
      <c r="I41" s="11">
        <v>46022</v>
      </c>
      <c r="J41" s="11">
        <v>46112</v>
      </c>
      <c r="K41" s="11">
        <v>46203</v>
      </c>
    </row>
    <row r="42" spans="1:11" s="5" customFormat="1" x14ac:dyDescent="0.35">
      <c r="A42" s="5" t="s">
        <v>5</v>
      </c>
      <c r="B42">
        <v>79433.61</v>
      </c>
      <c r="C42">
        <v>81546.2</v>
      </c>
      <c r="D42">
        <v>83001.72</v>
      </c>
      <c r="E42">
        <v>85040.17</v>
      </c>
      <c r="F42">
        <v>86779.34</v>
      </c>
      <c r="G42">
        <v>87371.87</v>
      </c>
      <c r="H42">
        <v>86993.84</v>
      </c>
      <c r="I42">
        <v>87066.94</v>
      </c>
      <c r="J42">
        <v>87182.5</v>
      </c>
      <c r="K42">
        <v>90575.33</v>
      </c>
    </row>
    <row r="43" spans="1:11" s="5" customFormat="1" x14ac:dyDescent="0.35">
      <c r="A43" s="5" t="s">
        <v>6</v>
      </c>
      <c r="B43">
        <v>62938.45</v>
      </c>
      <c r="C43">
        <v>49689.62</v>
      </c>
      <c r="D43">
        <v>52074.11</v>
      </c>
      <c r="E43">
        <v>41306.79</v>
      </c>
      <c r="F43">
        <v>47709.16</v>
      </c>
      <c r="G43">
        <v>64496.63</v>
      </c>
      <c r="H43">
        <v>45160.88</v>
      </c>
      <c r="I43">
        <v>54144.75</v>
      </c>
      <c r="J43">
        <v>44027.87</v>
      </c>
      <c r="K43">
        <v>58291.57</v>
      </c>
    </row>
    <row r="44" spans="1:11" s="5" customFormat="1" x14ac:dyDescent="0.35">
      <c r="A44" s="5" t="s">
        <v>8</v>
      </c>
      <c r="B44">
        <v>44957.74</v>
      </c>
      <c r="C44">
        <v>35450.29</v>
      </c>
      <c r="D44">
        <v>38455.019999999997</v>
      </c>
      <c r="E44">
        <v>27153.77</v>
      </c>
      <c r="F44">
        <v>33489.42</v>
      </c>
      <c r="G44">
        <v>45683.1</v>
      </c>
      <c r="H44">
        <v>31566.79</v>
      </c>
      <c r="I44">
        <v>39860.33</v>
      </c>
      <c r="J44">
        <v>29737.439999999999</v>
      </c>
      <c r="K44">
        <v>42535.03</v>
      </c>
    </row>
    <row r="45" spans="1:11" s="5" customFormat="1" x14ac:dyDescent="0.35">
      <c r="A45" s="5" t="s">
        <v>9</v>
      </c>
    </row>
    <row r="46" spans="1:11" s="5" customFormat="1" x14ac:dyDescent="0.35">
      <c r="A46" s="5" t="s">
        <v>10</v>
      </c>
      <c r="B46">
        <v>43691.51</v>
      </c>
      <c r="C46">
        <v>44579.5</v>
      </c>
      <c r="D46">
        <v>45414.21</v>
      </c>
      <c r="E46">
        <v>46914.28</v>
      </c>
      <c r="F46">
        <v>46986.21</v>
      </c>
      <c r="G46">
        <v>47708.51</v>
      </c>
      <c r="H46">
        <v>46740.86</v>
      </c>
      <c r="I46">
        <v>45821.42</v>
      </c>
      <c r="J46">
        <v>45220.44</v>
      </c>
      <c r="K46">
        <v>47625.63</v>
      </c>
    </row>
    <row r="47" spans="1:11" s="5" customFormat="1" x14ac:dyDescent="0.35">
      <c r="A47" s="5" t="s">
        <v>11</v>
      </c>
      <c r="B47">
        <v>17761.39</v>
      </c>
      <c r="C47">
        <v>22727.37</v>
      </c>
      <c r="D47">
        <v>23968.42</v>
      </c>
      <c r="E47">
        <v>23972.87</v>
      </c>
      <c r="F47">
        <v>25573.39</v>
      </c>
      <c r="G47">
        <v>20849.830000000002</v>
      </c>
      <c r="H47">
        <v>26658.89</v>
      </c>
      <c r="I47">
        <v>26961.1</v>
      </c>
      <c r="J47">
        <v>27671.63</v>
      </c>
      <c r="K47">
        <v>27193.16</v>
      </c>
    </row>
    <row r="48" spans="1:11" s="5" customFormat="1" x14ac:dyDescent="0.35">
      <c r="A48" s="5" t="s">
        <v>12</v>
      </c>
      <c r="B48">
        <v>-251.48</v>
      </c>
      <c r="C48">
        <v>5539.32</v>
      </c>
      <c r="D48">
        <v>5340.98</v>
      </c>
      <c r="E48">
        <v>5632.76</v>
      </c>
      <c r="F48">
        <v>6288.82</v>
      </c>
      <c r="G48">
        <v>3759.4</v>
      </c>
      <c r="H48">
        <v>6295.12</v>
      </c>
      <c r="I48">
        <v>6270.06</v>
      </c>
      <c r="J48">
        <v>6597.41</v>
      </c>
      <c r="K48">
        <v>6810.47</v>
      </c>
    </row>
    <row r="49" spans="1:11" s="5" customFormat="1" x14ac:dyDescent="0.35">
      <c r="A49" s="5" t="s">
        <v>13</v>
      </c>
      <c r="B49">
        <v>17622.38</v>
      </c>
      <c r="C49">
        <v>16474.849999999999</v>
      </c>
      <c r="D49">
        <v>17825.91</v>
      </c>
      <c r="E49">
        <v>17656.61</v>
      </c>
      <c r="F49">
        <v>18834.88</v>
      </c>
      <c r="G49">
        <v>16257.91</v>
      </c>
      <c r="H49">
        <v>19610.669999999998</v>
      </c>
      <c r="I49">
        <v>19806.63</v>
      </c>
      <c r="J49">
        <v>20350.759999999998</v>
      </c>
      <c r="K49">
        <v>19244.71</v>
      </c>
    </row>
    <row r="50" spans="1:11" x14ac:dyDescent="0.35">
      <c r="A50" s="5" t="s">
        <v>7</v>
      </c>
      <c r="B50">
        <v>16495.16</v>
      </c>
      <c r="C50">
        <v>31856.58</v>
      </c>
      <c r="D50">
        <v>30927.61</v>
      </c>
      <c r="E50">
        <v>43733.38</v>
      </c>
      <c r="F50">
        <v>39070.18</v>
      </c>
      <c r="G50">
        <v>22875.24</v>
      </c>
      <c r="H50">
        <v>41832.959999999999</v>
      </c>
      <c r="I50">
        <v>32922.19</v>
      </c>
      <c r="J50">
        <v>43154.63</v>
      </c>
      <c r="K50">
        <v>32283.759999999998</v>
      </c>
    </row>
    <row r="51" spans="1:11" x14ac:dyDescent="0.35">
      <c r="A51" s="5"/>
    </row>
    <row r="52" spans="1:11" x14ac:dyDescent="0.35">
      <c r="A52" s="5"/>
    </row>
    <row r="53" spans="1:11" x14ac:dyDescent="0.35">
      <c r="A53" s="5"/>
    </row>
    <row r="54" spans="1:11" x14ac:dyDescent="0.35">
      <c r="A54" s="5"/>
    </row>
    <row r="55" spans="1:11" x14ac:dyDescent="0.35">
      <c r="A55" s="1" t="s">
        <v>39</v>
      </c>
    </row>
    <row r="56" spans="1:11" s="17" customFormat="1" x14ac:dyDescent="0.35">
      <c r="A56" s="16" t="s">
        <v>37</v>
      </c>
      <c r="B56" s="11">
        <v>42825</v>
      </c>
      <c r="C56" s="11">
        <v>43190</v>
      </c>
      <c r="D56" s="11">
        <v>43555</v>
      </c>
      <c r="E56" s="11">
        <v>43921</v>
      </c>
      <c r="F56" s="11">
        <v>44286</v>
      </c>
      <c r="G56" s="11">
        <v>44651</v>
      </c>
      <c r="H56" s="11">
        <v>45016</v>
      </c>
      <c r="I56" s="11">
        <v>45382</v>
      </c>
      <c r="J56" s="11">
        <v>45747</v>
      </c>
      <c r="K56" s="11">
        <v>46112</v>
      </c>
    </row>
    <row r="57" spans="1:11" x14ac:dyDescent="0.35">
      <c r="A57" s="5" t="s">
        <v>23</v>
      </c>
      <c r="B57">
        <v>512.51</v>
      </c>
      <c r="C57">
        <v>519.02</v>
      </c>
      <c r="D57">
        <v>544.66</v>
      </c>
      <c r="E57">
        <v>548.33000000000004</v>
      </c>
      <c r="F57">
        <v>551.28</v>
      </c>
      <c r="G57">
        <v>554.54999999999995</v>
      </c>
      <c r="H57">
        <v>557.97</v>
      </c>
      <c r="I57">
        <v>759.69</v>
      </c>
      <c r="J57">
        <v>765.22</v>
      </c>
      <c r="K57">
        <v>1539.34</v>
      </c>
    </row>
    <row r="58" spans="1:11" x14ac:dyDescent="0.35">
      <c r="A58" s="5" t="s">
        <v>24</v>
      </c>
      <c r="B58">
        <v>91281.44</v>
      </c>
      <c r="C58">
        <v>109080.11</v>
      </c>
      <c r="D58">
        <v>153128</v>
      </c>
      <c r="E58">
        <v>175810.38</v>
      </c>
      <c r="F58">
        <v>209258.9</v>
      </c>
      <c r="G58">
        <v>246771.62</v>
      </c>
      <c r="H58">
        <v>288879.53000000003</v>
      </c>
      <c r="I58">
        <v>455635.56</v>
      </c>
      <c r="J58">
        <v>521024.17</v>
      </c>
      <c r="K58">
        <v>584520.13</v>
      </c>
    </row>
    <row r="59" spans="1:11" x14ac:dyDescent="0.35">
      <c r="A59" s="5" t="s">
        <v>70</v>
      </c>
      <c r="B59">
        <v>741549.89</v>
      </c>
      <c r="C59">
        <v>944817.22</v>
      </c>
      <c r="D59">
        <v>1080235.46</v>
      </c>
      <c r="E59">
        <v>1333041.45</v>
      </c>
      <c r="F59">
        <v>1511417.62</v>
      </c>
      <c r="G59">
        <v>1784969.53</v>
      </c>
      <c r="H59">
        <v>2139211.91</v>
      </c>
      <c r="I59">
        <v>3107502.74</v>
      </c>
      <c r="J59">
        <v>3345503.8</v>
      </c>
      <c r="K59">
        <v>3688122.84</v>
      </c>
    </row>
    <row r="60" spans="1:11" x14ac:dyDescent="0.35">
      <c r="A60" s="5" t="s">
        <v>71</v>
      </c>
      <c r="B60">
        <v>59000.32</v>
      </c>
      <c r="C60">
        <v>48769.82</v>
      </c>
      <c r="D60">
        <v>58897.59</v>
      </c>
      <c r="E60">
        <v>71430.27</v>
      </c>
      <c r="F60">
        <v>78278.83</v>
      </c>
      <c r="G60">
        <v>90638.6</v>
      </c>
      <c r="H60">
        <v>101783.03</v>
      </c>
      <c r="I60">
        <v>466296.27</v>
      </c>
      <c r="J60">
        <v>524816.64000000001</v>
      </c>
      <c r="K60">
        <v>633519.03</v>
      </c>
    </row>
    <row r="61" spans="1:11" s="1" customFormat="1" x14ac:dyDescent="0.35">
      <c r="A61" s="1" t="s">
        <v>25</v>
      </c>
      <c r="B61">
        <v>892344.16</v>
      </c>
      <c r="C61">
        <v>1103186.17</v>
      </c>
      <c r="D61">
        <v>1292805.71</v>
      </c>
      <c r="E61">
        <v>1580830.43</v>
      </c>
      <c r="F61">
        <v>1799506.63</v>
      </c>
      <c r="G61">
        <v>2122934.2999999998</v>
      </c>
      <c r="H61">
        <v>2530432.44</v>
      </c>
      <c r="I61">
        <v>4030194.26</v>
      </c>
      <c r="J61">
        <v>4392109.83</v>
      </c>
      <c r="K61">
        <v>4907701.34</v>
      </c>
    </row>
    <row r="62" spans="1:11" x14ac:dyDescent="0.35">
      <c r="A62" s="5" t="s">
        <v>26</v>
      </c>
      <c r="B62">
        <v>3999.7</v>
      </c>
      <c r="C62">
        <v>4008.13</v>
      </c>
      <c r="D62">
        <v>4368.63</v>
      </c>
      <c r="E62">
        <v>4775.6499999999996</v>
      </c>
      <c r="F62">
        <v>5248.35</v>
      </c>
      <c r="G62">
        <v>6432.07</v>
      </c>
      <c r="H62">
        <v>8431.35</v>
      </c>
      <c r="I62">
        <v>12603.76</v>
      </c>
      <c r="J62">
        <v>15257.94</v>
      </c>
      <c r="K62">
        <v>16491.59</v>
      </c>
    </row>
    <row r="63" spans="1:11" x14ac:dyDescent="0.35">
      <c r="A63" s="5" t="s">
        <v>27</v>
      </c>
    </row>
    <row r="64" spans="1:11" x14ac:dyDescent="0.35">
      <c r="A64" s="5" t="s">
        <v>28</v>
      </c>
      <c r="B64">
        <v>210777.11</v>
      </c>
      <c r="C64">
        <v>238460.92</v>
      </c>
      <c r="D64">
        <v>289445.87</v>
      </c>
      <c r="E64">
        <v>389304.95</v>
      </c>
      <c r="F64">
        <v>438823.11</v>
      </c>
      <c r="G64">
        <v>449263.86</v>
      </c>
      <c r="H64">
        <v>511581.71</v>
      </c>
      <c r="I64">
        <v>1005681.63</v>
      </c>
      <c r="J64">
        <v>1186472.8899999999</v>
      </c>
      <c r="K64">
        <v>1280216.29</v>
      </c>
    </row>
    <row r="65" spans="1:11" x14ac:dyDescent="0.35">
      <c r="A65" s="5" t="s">
        <v>72</v>
      </c>
      <c r="B65">
        <v>677567.35</v>
      </c>
      <c r="C65">
        <v>860717.12</v>
      </c>
      <c r="D65">
        <v>998991.21</v>
      </c>
      <c r="E65">
        <v>1186749.83</v>
      </c>
      <c r="F65">
        <v>1355435.17</v>
      </c>
      <c r="G65">
        <v>1667238.37</v>
      </c>
      <c r="H65">
        <v>2010419.38</v>
      </c>
      <c r="I65">
        <v>3011908.87</v>
      </c>
      <c r="J65">
        <v>3190379</v>
      </c>
      <c r="K65">
        <v>3610993.46</v>
      </c>
    </row>
    <row r="66" spans="1:11" s="1" customFormat="1" x14ac:dyDescent="0.35">
      <c r="A66" s="1" t="s">
        <v>25</v>
      </c>
      <c r="B66">
        <v>892344.16</v>
      </c>
      <c r="C66">
        <v>1103186.17</v>
      </c>
      <c r="D66">
        <v>1292805.71</v>
      </c>
      <c r="E66">
        <v>1580830.43</v>
      </c>
      <c r="F66">
        <v>1799506.63</v>
      </c>
      <c r="G66">
        <v>2122934.2999999998</v>
      </c>
      <c r="H66">
        <v>2530432.44</v>
      </c>
      <c r="I66">
        <v>4030194.26</v>
      </c>
      <c r="J66">
        <v>4392109.83</v>
      </c>
      <c r="K66">
        <v>4907701.34</v>
      </c>
    </row>
    <row r="67" spans="1:11" s="5" customFormat="1" x14ac:dyDescent="0.35">
      <c r="A67" s="5" t="s">
        <v>77</v>
      </c>
    </row>
    <row r="68" spans="1:11" x14ac:dyDescent="0.35">
      <c r="A68" s="5" t="s">
        <v>44</v>
      </c>
    </row>
    <row r="69" spans="1:11" x14ac:dyDescent="0.35">
      <c r="A69" s="3" t="s">
        <v>86</v>
      </c>
      <c r="B69">
        <v>37910.550000000003</v>
      </c>
      <c r="C69">
        <v>104688.2</v>
      </c>
      <c r="D69">
        <v>46804.59</v>
      </c>
      <c r="E69">
        <v>72211</v>
      </c>
      <c r="F69">
        <v>97370.35</v>
      </c>
      <c r="G69">
        <v>130030.71</v>
      </c>
      <c r="H69">
        <v>117189.28</v>
      </c>
      <c r="I69">
        <v>178718.67</v>
      </c>
      <c r="J69">
        <v>144390.25</v>
      </c>
      <c r="K69">
        <v>200707.11</v>
      </c>
    </row>
    <row r="70" spans="1:11" x14ac:dyDescent="0.35">
      <c r="A70" s="3" t="s">
        <v>73</v>
      </c>
      <c r="B70">
        <v>2562545717</v>
      </c>
      <c r="C70">
        <v>2595090267</v>
      </c>
      <c r="D70">
        <v>2723306610</v>
      </c>
      <c r="E70">
        <v>5483286460</v>
      </c>
      <c r="F70">
        <v>5512776482</v>
      </c>
      <c r="G70">
        <v>5545540976</v>
      </c>
      <c r="H70">
        <v>5579742786</v>
      </c>
      <c r="I70">
        <v>7596910662</v>
      </c>
      <c r="J70">
        <v>7652221674</v>
      </c>
      <c r="K70">
        <v>15393368328</v>
      </c>
    </row>
    <row r="71" spans="1:11" x14ac:dyDescent="0.35">
      <c r="A71" s="3" t="s">
        <v>74</v>
      </c>
    </row>
    <row r="72" spans="1:11" x14ac:dyDescent="0.35">
      <c r="A72" s="3" t="s">
        <v>87</v>
      </c>
      <c r="B72">
        <v>2</v>
      </c>
      <c r="C72">
        <v>2</v>
      </c>
      <c r="D72">
        <v>2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5"/>
    </row>
    <row r="75" spans="1:11" x14ac:dyDescent="0.35">
      <c r="A75" s="5"/>
    </row>
    <row r="76" spans="1:11" x14ac:dyDescent="0.35">
      <c r="A76" s="5"/>
    </row>
    <row r="77" spans="1:11" x14ac:dyDescent="0.35">
      <c r="A77" s="5"/>
    </row>
    <row r="78" spans="1:11" x14ac:dyDescent="0.35">
      <c r="A78" s="5"/>
    </row>
    <row r="79" spans="1:11" x14ac:dyDescent="0.35">
      <c r="A79" s="5"/>
    </row>
    <row r="80" spans="1:11" x14ac:dyDescent="0.35">
      <c r="A80" s="1" t="s">
        <v>40</v>
      </c>
    </row>
    <row r="81" spans="1:11" s="17" customFormat="1" x14ac:dyDescent="0.35">
      <c r="A81" s="16" t="s">
        <v>37</v>
      </c>
      <c r="B81" s="11">
        <v>42825</v>
      </c>
      <c r="C81" s="11">
        <v>43190</v>
      </c>
      <c r="D81" s="11">
        <v>43555</v>
      </c>
      <c r="E81" s="11">
        <v>43921</v>
      </c>
      <c r="F81" s="11">
        <v>44286</v>
      </c>
      <c r="G81" s="11">
        <v>44651</v>
      </c>
      <c r="H81" s="11">
        <v>45016</v>
      </c>
      <c r="I81" s="11">
        <v>45382</v>
      </c>
      <c r="J81" s="11">
        <v>45747</v>
      </c>
      <c r="K81" s="11">
        <v>46112</v>
      </c>
    </row>
    <row r="82" spans="1:11" s="1" customFormat="1" x14ac:dyDescent="0.35">
      <c r="A82" s="5" t="s">
        <v>31</v>
      </c>
      <c r="B82">
        <v>17281.59</v>
      </c>
      <c r="C82">
        <v>17214.38</v>
      </c>
      <c r="D82">
        <v>-62871.54</v>
      </c>
      <c r="E82">
        <v>-16869.09</v>
      </c>
      <c r="F82">
        <v>42476.45</v>
      </c>
      <c r="G82">
        <v>-11959.57</v>
      </c>
      <c r="H82">
        <v>20813.7</v>
      </c>
      <c r="I82">
        <v>19069.34</v>
      </c>
      <c r="J82">
        <v>127241.84</v>
      </c>
      <c r="K82">
        <v>113506.38</v>
      </c>
    </row>
    <row r="83" spans="1:11" s="5" customFormat="1" x14ac:dyDescent="0.35">
      <c r="A83" s="5" t="s">
        <v>32</v>
      </c>
      <c r="B83">
        <v>-1146.3800000000001</v>
      </c>
      <c r="C83">
        <v>-841.6</v>
      </c>
      <c r="D83">
        <v>-1503.06</v>
      </c>
      <c r="E83">
        <v>-1402.94</v>
      </c>
      <c r="F83">
        <v>-1822.7</v>
      </c>
      <c r="G83">
        <v>-2051.23</v>
      </c>
      <c r="H83">
        <v>-2992.18</v>
      </c>
      <c r="I83">
        <v>16600.419999999998</v>
      </c>
      <c r="J83">
        <v>-3650.91</v>
      </c>
      <c r="K83">
        <v>7476.62</v>
      </c>
    </row>
    <row r="84" spans="1:11" s="5" customFormat="1" x14ac:dyDescent="0.35">
      <c r="A84" s="5" t="s">
        <v>33</v>
      </c>
      <c r="B84">
        <v>-5892.97</v>
      </c>
      <c r="C84">
        <v>57377.66</v>
      </c>
      <c r="D84">
        <v>23130.69</v>
      </c>
      <c r="E84">
        <v>24394.5</v>
      </c>
      <c r="F84">
        <v>-7321.35</v>
      </c>
      <c r="G84">
        <v>48124.02</v>
      </c>
      <c r="H84">
        <v>23940.560000000001</v>
      </c>
      <c r="I84">
        <v>-3983.06</v>
      </c>
      <c r="J84">
        <v>-102477.54</v>
      </c>
      <c r="K84">
        <v>-59004.85</v>
      </c>
    </row>
    <row r="85" spans="1:11" s="1" customFormat="1" x14ac:dyDescent="0.35">
      <c r="A85" s="5" t="s">
        <v>34</v>
      </c>
      <c r="B85">
        <v>10242.24</v>
      </c>
      <c r="C85">
        <v>73750.44</v>
      </c>
      <c r="D85">
        <v>-41243.910000000003</v>
      </c>
      <c r="E85">
        <v>6122.47</v>
      </c>
      <c r="F85">
        <v>33332.400000000001</v>
      </c>
      <c r="G85">
        <v>34113.22</v>
      </c>
      <c r="H85">
        <v>41762.080000000002</v>
      </c>
      <c r="I85">
        <v>31686.7</v>
      </c>
      <c r="J85">
        <v>21113.39</v>
      </c>
      <c r="K85">
        <v>61978.15</v>
      </c>
    </row>
    <row r="86" spans="1:11" x14ac:dyDescent="0.35">
      <c r="A86" s="5"/>
    </row>
    <row r="87" spans="1:11" x14ac:dyDescent="0.35">
      <c r="A87" s="5"/>
    </row>
    <row r="88" spans="1:11" x14ac:dyDescent="0.35">
      <c r="A88" s="5"/>
    </row>
    <row r="89" spans="1:11" x14ac:dyDescent="0.35">
      <c r="A89" s="5"/>
    </row>
    <row r="90" spans="1:11" s="1" customFormat="1" x14ac:dyDescent="0.35">
      <c r="A90" s="1" t="s">
        <v>76</v>
      </c>
      <c r="B90">
        <v>360.64</v>
      </c>
      <c r="C90">
        <v>471.53</v>
      </c>
      <c r="D90">
        <v>579.73</v>
      </c>
      <c r="E90">
        <v>430.95</v>
      </c>
      <c r="F90">
        <v>746.83</v>
      </c>
      <c r="G90">
        <v>735.18</v>
      </c>
      <c r="H90">
        <v>804.78</v>
      </c>
      <c r="I90">
        <v>723.95</v>
      </c>
      <c r="J90">
        <v>914.1</v>
      </c>
      <c r="K90">
        <v>731.55</v>
      </c>
    </row>
    <row r="92" spans="1:11" s="1" customFormat="1" x14ac:dyDescent="0.35">
      <c r="A92" s="1" t="s">
        <v>75</v>
      </c>
    </row>
    <row r="93" spans="1:11" x14ac:dyDescent="0.35">
      <c r="A93" s="3" t="s">
        <v>88</v>
      </c>
      <c r="B93" s="23">
        <v>1025.02</v>
      </c>
      <c r="C93" s="23">
        <v>1038.04</v>
      </c>
      <c r="D93" s="23">
        <v>1089.32</v>
      </c>
      <c r="E93" s="23">
        <v>1096.6600000000001</v>
      </c>
      <c r="F93" s="23">
        <v>1102.56</v>
      </c>
      <c r="G93" s="23">
        <v>1109.1099999999999</v>
      </c>
      <c r="H93" s="23">
        <v>1115.95</v>
      </c>
      <c r="I93" s="23">
        <v>1519.38</v>
      </c>
      <c r="J93" s="23">
        <v>1530.44</v>
      </c>
      <c r="K93" s="23">
        <v>1539.34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sudeep mallikarjunaiah</cp:lastModifiedBy>
  <cp:lastPrinted>2012-12-06T18:14:13Z</cp:lastPrinted>
  <dcterms:created xsi:type="dcterms:W3CDTF">2012-08-17T09:55:37Z</dcterms:created>
  <dcterms:modified xsi:type="dcterms:W3CDTF">2026-09-13T14:12:45Z</dcterms:modified>
</cp:coreProperties>
</file>